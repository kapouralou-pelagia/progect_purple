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uoc-my.sharepoint.com/personal/p_sarris_ictuoc_onmicrosoft_com/Documents/SarrisLab IMBB-FORTH/Lab_Members/Πελαγία Καπουράλου/thesis/supplementary/tables/"/>
    </mc:Choice>
  </mc:AlternateContent>
  <xr:revisionPtr revIDLastSave="1895" documentId="8_{1CC824F2-E771-4876-BA52-300E8B0E3A41}" xr6:coauthVersionLast="47" xr6:coauthVersionMax="47" xr10:uidLastSave="{73AD1B70-9F69-44DA-8979-A12CB1CEF8BD}"/>
  <bookViews>
    <workbookView xWindow="-108" yWindow="-108" windowWidth="23256" windowHeight="12576" activeTab="2" xr2:uid="{A93DA47C-C36C-40C0-AAE8-D6E786B52125}"/>
  </bookViews>
  <sheets>
    <sheet name="1st_Assay" sheetId="1" r:id="rId1"/>
    <sheet name="2nd_assay" sheetId="2" r:id="rId2"/>
    <sheet name="3nd_Assay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E85" i="1"/>
  <c r="E83" i="1"/>
  <c r="E82" i="1"/>
  <c r="E81" i="1"/>
  <c r="E80" i="1"/>
  <c r="E79" i="1"/>
  <c r="E78" i="1"/>
  <c r="E77" i="1"/>
  <c r="E59" i="1"/>
  <c r="E58" i="1"/>
  <c r="E57" i="1"/>
  <c r="E56" i="1"/>
  <c r="E55" i="1"/>
  <c r="E54" i="1"/>
  <c r="E53" i="1"/>
  <c r="E52" i="1"/>
  <c r="E51" i="1"/>
  <c r="E112" i="3"/>
  <c r="E111" i="3"/>
  <c r="E110" i="3"/>
  <c r="E114" i="3"/>
  <c r="E115" i="3"/>
  <c r="E113" i="3"/>
  <c r="E118" i="3"/>
  <c r="E117" i="3"/>
  <c r="E116" i="3"/>
  <c r="E63" i="3"/>
  <c r="E62" i="3"/>
  <c r="E61" i="3"/>
  <c r="E64" i="3"/>
  <c r="E66" i="3"/>
  <c r="E65" i="3"/>
  <c r="E69" i="3"/>
  <c r="E68" i="3"/>
  <c r="E67" i="3"/>
  <c r="E117" i="2"/>
  <c r="E116" i="2"/>
  <c r="E115" i="2"/>
  <c r="E114" i="2"/>
  <c r="E113" i="2"/>
  <c r="E112" i="2"/>
  <c r="E111" i="2"/>
  <c r="E110" i="2"/>
  <c r="E109" i="2"/>
  <c r="E65" i="2"/>
  <c r="E64" i="2"/>
  <c r="E63" i="2"/>
  <c r="E68" i="2"/>
  <c r="E67" i="2"/>
  <c r="E66" i="2"/>
  <c r="E62" i="2"/>
  <c r="E61" i="2"/>
  <c r="E60" i="2"/>
  <c r="E59" i="2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37" i="3"/>
  <c r="E36" i="3"/>
  <c r="E35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0" i="3"/>
  <c r="E39" i="3"/>
  <c r="E38" i="3"/>
  <c r="E34" i="3"/>
  <c r="E33" i="3"/>
  <c r="E31" i="3"/>
  <c r="E30" i="3"/>
  <c r="E29" i="3"/>
  <c r="E28" i="3"/>
  <c r="E27" i="3"/>
  <c r="E26" i="3"/>
  <c r="E25" i="3"/>
  <c r="E24" i="3"/>
  <c r="E23" i="3"/>
  <c r="E32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88" i="2"/>
  <c r="E87" i="2"/>
  <c r="E86" i="2"/>
  <c r="E85" i="2"/>
  <c r="E84" i="2"/>
  <c r="E83" i="2"/>
  <c r="E79" i="2"/>
  <c r="E78" i="2"/>
  <c r="E82" i="2"/>
  <c r="E81" i="2"/>
  <c r="E80" i="2"/>
  <c r="E77" i="2"/>
  <c r="E76" i="2"/>
  <c r="E75" i="2"/>
  <c r="E74" i="2"/>
  <c r="E73" i="2"/>
  <c r="E72" i="2"/>
  <c r="E71" i="2"/>
  <c r="E42" i="2"/>
  <c r="E43" i="2"/>
  <c r="E44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76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50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3" i="1"/>
  <c r="E32" i="1"/>
  <c r="E31" i="1"/>
  <c r="E30" i="1"/>
  <c r="E29" i="1"/>
  <c r="E28" i="1"/>
  <c r="E7" i="1"/>
  <c r="E6" i="1"/>
  <c r="E5" i="1"/>
  <c r="E27" i="1"/>
  <c r="E26" i="1"/>
  <c r="E25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9" i="1"/>
  <c r="E8" i="1"/>
  <c r="E4" i="1"/>
  <c r="E3" i="1"/>
  <c r="E2" i="1"/>
</calcChain>
</file>

<file path=xl/sharedStrings.xml><?xml version="1.0" encoding="utf-8"?>
<sst xmlns="http://schemas.openxmlformats.org/spreadsheetml/2006/main" count="522" uniqueCount="46">
  <si>
    <t>bacterium_id</t>
  </si>
  <si>
    <t>replicate_id</t>
  </si>
  <si>
    <t>assay</t>
  </si>
  <si>
    <t>time_poiont</t>
  </si>
  <si>
    <t xml:space="preserve">radial_growth </t>
  </si>
  <si>
    <t>angle</t>
  </si>
  <si>
    <t>length</t>
  </si>
  <si>
    <t>1260 a</t>
  </si>
  <si>
    <t>1260b</t>
  </si>
  <si>
    <t>1260c</t>
  </si>
  <si>
    <t>3dpi</t>
  </si>
  <si>
    <t>controla</t>
  </si>
  <si>
    <t>controlb</t>
  </si>
  <si>
    <t>controlc</t>
  </si>
  <si>
    <t>1264a</t>
  </si>
  <si>
    <t>1264b</t>
  </si>
  <si>
    <t>1264c</t>
  </si>
  <si>
    <t>control</t>
  </si>
  <si>
    <t>1263a</t>
  </si>
  <si>
    <t>1263b</t>
  </si>
  <si>
    <t>1263c</t>
  </si>
  <si>
    <t>1433a</t>
  </si>
  <si>
    <t>1433b</t>
  </si>
  <si>
    <t>1433c</t>
  </si>
  <si>
    <t>4dpi</t>
  </si>
  <si>
    <t>contamination</t>
  </si>
  <si>
    <t>1260a</t>
  </si>
  <si>
    <t>1269c</t>
  </si>
  <si>
    <t>5dpi</t>
  </si>
  <si>
    <t xml:space="preserve">1263c </t>
  </si>
  <si>
    <t>6dpi</t>
  </si>
  <si>
    <t>SRL917</t>
  </si>
  <si>
    <t>radial_growth</t>
  </si>
  <si>
    <t>SRL917a</t>
  </si>
  <si>
    <t>SRL917b</t>
  </si>
  <si>
    <t>SRL917c</t>
  </si>
  <si>
    <t>7dpi</t>
  </si>
  <si>
    <t>1098a</t>
  </si>
  <si>
    <t>1098b</t>
  </si>
  <si>
    <t>1098c</t>
  </si>
  <si>
    <t>1112a</t>
  </si>
  <si>
    <t>1112b</t>
  </si>
  <si>
    <t>1112c</t>
  </si>
  <si>
    <t>1123a</t>
  </si>
  <si>
    <t>1123b</t>
  </si>
  <si>
    <t>1123c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</si>
</sst>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3" xfId="0" applyBorder="1" applyAlignment="1">
      <alignment horizontal="center"/>
    </xf>
    <xf numFmtId="0" fontId="0" fillId="3" borderId="0" xfId="0" applyFill="1"/>
    <xf numFmtId="0" fontId="5" fillId="0" borderId="1" xfId="0" applyFont="1" applyBorder="1"/>
    <xf numFmtId="0" fontId="4" fillId="0" borderId="1" xfId="0" applyFont="1" applyBorder="1"/>
    <xf numFmtId="0" fontId="0" fillId="0" borderId="4" xfId="0" applyBorder="1" applyAlignment="1">
      <alignment horizontal="center"/>
    </xf>
    <xf numFmtId="0" fontId="0" fillId="3" borderId="1" xfId="0" applyFill="1" applyBorder="1"/>
    <xf numFmtId="0" fontId="1" fillId="0" borderId="3" xfId="0" applyFont="1" applyBorder="1"/>
    <xf numFmtId="0" fontId="6" fillId="0" borderId="1" xfId="0" applyFont="1" applyBorder="1"/>
    <xf numFmtId="0" fontId="6" fillId="0" borderId="5" xfId="0" applyFont="1" applyBorder="1"/>
    <xf numFmtId="0" fontId="0" fillId="0" borderId="5" xfId="0" applyBorder="1"/>
    <xf numFmtId="0" fontId="7" fillId="0" borderId="2" xfId="0" applyFont="1" applyBorder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6" fillId="0" borderId="3" xfId="0" applyFont="1" applyBorder="1"/>
    <xf numFmtId="0" fontId="6" fillId="0" borderId="6" xfId="0" applyFont="1" applyBorder="1"/>
    <xf numFmtId="0" fontId="0" fillId="0" borderId="7" xfId="0" applyBorder="1"/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16" xfId="0" applyFont="1" applyBorder="1"/>
    <xf numFmtId="0" fontId="0" fillId="0" borderId="15" xfId="0" applyBorder="1"/>
    <xf numFmtId="0" fontId="6" fillId="0" borderId="15" xfId="0" applyFont="1" applyBorder="1"/>
    <xf numFmtId="0" fontId="0" fillId="2" borderId="12" xfId="0" applyFill="1" applyBorder="1"/>
    <xf numFmtId="0" fontId="7" fillId="2" borderId="2" xfId="0" applyFont="1" applyFill="1" applyBorder="1"/>
    <xf numFmtId="0" fontId="8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54F0-50F7-47FB-8242-2B2318B794C6}">
  <dimension ref="A1:AK116"/>
  <sheetViews>
    <sheetView topLeftCell="A72" zoomScaleNormal="100" workbookViewId="0">
      <selection activeCell="A83" sqref="A83:E85"/>
    </sheetView>
  </sheetViews>
  <sheetFormatPr defaultColWidth="8.77734375" defaultRowHeight="14.4" x14ac:dyDescent="0.3"/>
  <cols>
    <col min="1" max="1" width="13.6640625" customWidth="1"/>
    <col min="2" max="2" width="12.6640625" customWidth="1"/>
    <col min="4" max="4" width="12.44140625" customWidth="1"/>
    <col min="5" max="5" width="11.44140625" customWidth="1"/>
    <col min="24" max="24" width="13.44140625" customWidth="1"/>
  </cols>
  <sheetData>
    <row r="1" spans="1:3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37" x14ac:dyDescent="0.3">
      <c r="A2" s="2" t="s">
        <v>17</v>
      </c>
      <c r="B2" s="2">
        <v>1</v>
      </c>
      <c r="C2" s="2">
        <v>1</v>
      </c>
      <c r="D2" s="2">
        <v>3</v>
      </c>
      <c r="E2" s="1">
        <f>AVERAGE(T26:T28)</f>
        <v>4.3873333333333333</v>
      </c>
    </row>
    <row r="3" spans="1:37" x14ac:dyDescent="0.3">
      <c r="A3" s="2" t="s">
        <v>17</v>
      </c>
      <c r="B3" s="2">
        <v>2</v>
      </c>
      <c r="C3" s="2">
        <v>1</v>
      </c>
      <c r="D3" s="2">
        <v>3</v>
      </c>
      <c r="E3" s="1">
        <f>AVERAGE(T32:T34)</f>
        <v>4.3353333333333337</v>
      </c>
    </row>
    <row r="4" spans="1:37" x14ac:dyDescent="0.3">
      <c r="A4" s="2" t="s">
        <v>17</v>
      </c>
      <c r="B4" s="2">
        <v>3</v>
      </c>
      <c r="C4" s="2">
        <v>1</v>
      </c>
      <c r="D4" s="2">
        <v>3</v>
      </c>
      <c r="E4" s="1">
        <f>AVERAGE(T36:T38)</f>
        <v>4.032</v>
      </c>
    </row>
    <row r="5" spans="1:37" x14ac:dyDescent="0.3">
      <c r="A5" s="2">
        <v>1260</v>
      </c>
      <c r="B5" s="2">
        <v>1</v>
      </c>
      <c r="C5" s="2">
        <v>1</v>
      </c>
      <c r="D5" s="2">
        <v>3</v>
      </c>
      <c r="E5" s="1">
        <f>AVERAGE(T13:T15)</f>
        <v>3.8383333333333334</v>
      </c>
    </row>
    <row r="6" spans="1:37" x14ac:dyDescent="0.3">
      <c r="A6" s="2">
        <v>1260</v>
      </c>
      <c r="B6" s="2">
        <v>2</v>
      </c>
      <c r="C6" s="2">
        <v>1</v>
      </c>
      <c r="D6" s="2">
        <v>3</v>
      </c>
      <c r="E6" s="1">
        <f>AVERAGE(T17:T19)</f>
        <v>3.9290000000000003</v>
      </c>
    </row>
    <row r="7" spans="1:37" x14ac:dyDescent="0.3">
      <c r="A7" s="2">
        <v>1260</v>
      </c>
      <c r="B7" s="2">
        <v>3</v>
      </c>
      <c r="C7" s="2">
        <v>1</v>
      </c>
      <c r="D7" s="2">
        <v>3</v>
      </c>
      <c r="E7" s="2">
        <f>AVERAGE(T21:T23)</f>
        <v>3.8926666666666665</v>
      </c>
    </row>
    <row r="8" spans="1:37" x14ac:dyDescent="0.3">
      <c r="A8" s="2">
        <v>1263</v>
      </c>
      <c r="B8" s="2">
        <v>1</v>
      </c>
      <c r="C8" s="2">
        <v>1</v>
      </c>
      <c r="D8" s="2">
        <v>3</v>
      </c>
      <c r="E8" s="2">
        <f>AVERAGE(M26:M28)</f>
        <v>3.9376666666666669</v>
      </c>
      <c r="F8" s="6" t="s">
        <v>10</v>
      </c>
      <c r="V8" s="6"/>
    </row>
    <row r="9" spans="1:37" x14ac:dyDescent="0.3">
      <c r="A9" s="2">
        <v>1263</v>
      </c>
      <c r="B9" s="2">
        <v>2</v>
      </c>
      <c r="C9" s="2">
        <v>1</v>
      </c>
      <c r="D9" s="2">
        <v>3</v>
      </c>
      <c r="E9" s="2">
        <f>AVERAGE(M32:M34)</f>
        <v>4.001666666666666</v>
      </c>
      <c r="F9" s="6"/>
      <c r="V9" s="6"/>
    </row>
    <row r="10" spans="1:37" x14ac:dyDescent="0.3">
      <c r="A10" s="2">
        <v>1263</v>
      </c>
      <c r="B10" s="2">
        <v>3</v>
      </c>
      <c r="C10" s="2">
        <v>1</v>
      </c>
      <c r="D10" s="2">
        <v>3</v>
      </c>
      <c r="E10" s="2">
        <f>AVERAGE(M36:M38)</f>
        <v>4.2139999999999995</v>
      </c>
      <c r="F10" s="6"/>
      <c r="V10" s="6"/>
    </row>
    <row r="11" spans="1:37" x14ac:dyDescent="0.3">
      <c r="A11" s="2">
        <v>1264</v>
      </c>
      <c r="B11" s="2">
        <v>1</v>
      </c>
      <c r="C11" s="2">
        <v>1</v>
      </c>
      <c r="D11" s="2">
        <v>3</v>
      </c>
      <c r="E11" s="2">
        <f>AVERAGE(M13:M15)</f>
        <v>4.0549999999999997</v>
      </c>
      <c r="F11" s="6"/>
      <c r="V11" s="6" t="s">
        <v>24</v>
      </c>
    </row>
    <row r="12" spans="1:37" x14ac:dyDescent="0.3">
      <c r="A12" s="2">
        <v>1264</v>
      </c>
      <c r="B12" s="2">
        <v>2</v>
      </c>
      <c r="C12" s="2">
        <v>1</v>
      </c>
      <c r="D12" s="2">
        <v>3</v>
      </c>
      <c r="E12" s="2">
        <f>AVERAGE(M17:M19)</f>
        <v>4.2413333333333334</v>
      </c>
      <c r="G12" s="4" t="s">
        <v>14</v>
      </c>
      <c r="H12" s="1"/>
      <c r="I12" s="1"/>
      <c r="J12" s="1"/>
      <c r="K12" s="1"/>
      <c r="L12" s="7" t="s">
        <v>5</v>
      </c>
      <c r="M12" s="7" t="s">
        <v>6</v>
      </c>
      <c r="N12" s="5" t="s">
        <v>7</v>
      </c>
      <c r="O12" s="1"/>
      <c r="P12" s="1"/>
      <c r="Q12" s="1"/>
      <c r="R12" s="1"/>
      <c r="S12" s="7"/>
      <c r="T12" s="7" t="s">
        <v>6</v>
      </c>
      <c r="W12" s="4" t="s">
        <v>18</v>
      </c>
      <c r="X12" s="1"/>
      <c r="Y12" s="1"/>
      <c r="Z12" s="1"/>
      <c r="AA12" s="1"/>
      <c r="AB12" s="11" t="s">
        <v>5</v>
      </c>
      <c r="AC12" s="11" t="s">
        <v>6</v>
      </c>
      <c r="AE12" s="4" t="s">
        <v>14</v>
      </c>
      <c r="AF12" s="1"/>
      <c r="AG12" s="1"/>
      <c r="AH12" s="1"/>
      <c r="AI12" s="1"/>
      <c r="AJ12" s="11" t="s">
        <v>5</v>
      </c>
      <c r="AK12" s="11" t="s">
        <v>6</v>
      </c>
    </row>
    <row r="13" spans="1:37" x14ac:dyDescent="0.3">
      <c r="A13" s="9">
        <v>1264</v>
      </c>
      <c r="B13" s="9">
        <v>3</v>
      </c>
      <c r="C13" s="2">
        <v>1</v>
      </c>
      <c r="D13" s="2">
        <v>3</v>
      </c>
      <c r="E13" s="9">
        <f>AVERAGE(M21:M23)</f>
        <v>4.5666666666666664</v>
      </c>
      <c r="G13" s="1">
        <v>1</v>
      </c>
      <c r="H13" s="1">
        <v>3.5000000000000003E-2</v>
      </c>
      <c r="I13" s="1">
        <v>153.68</v>
      </c>
      <c r="J13" s="1">
        <v>70.667000000000002</v>
      </c>
      <c r="K13" s="1">
        <v>187.125</v>
      </c>
      <c r="L13" s="1">
        <v>-40.11</v>
      </c>
      <c r="M13" s="8">
        <v>4.1120000000000001</v>
      </c>
      <c r="N13" s="3">
        <v>1</v>
      </c>
      <c r="O13" s="1">
        <v>3.2000000000000001E-2</v>
      </c>
      <c r="P13" s="1">
        <v>150.113</v>
      </c>
      <c r="Q13" s="1">
        <v>53</v>
      </c>
      <c r="R13" s="1">
        <v>180.58600000000001</v>
      </c>
      <c r="S13" s="1">
        <v>-40.524999999999999</v>
      </c>
      <c r="T13" s="8">
        <v>3.9470000000000001</v>
      </c>
      <c r="W13" s="1">
        <v>1</v>
      </c>
      <c r="X13" s="1">
        <v>3.9E-2</v>
      </c>
      <c r="Y13" s="1">
        <v>168.03899999999999</v>
      </c>
      <c r="Z13" s="1">
        <v>76.667000000000002</v>
      </c>
      <c r="AA13" s="1">
        <v>221.84800000000001</v>
      </c>
      <c r="AB13" s="1">
        <v>40.365000000000002</v>
      </c>
      <c r="AC13" s="1">
        <v>4.9219999999999997</v>
      </c>
      <c r="AE13" s="1">
        <v>1</v>
      </c>
      <c r="AF13" s="1">
        <v>0.04</v>
      </c>
      <c r="AG13" s="1">
        <v>174.25200000000001</v>
      </c>
      <c r="AH13" s="1">
        <v>44.667000000000002</v>
      </c>
      <c r="AI13" s="1">
        <v>226.06399999999999</v>
      </c>
      <c r="AJ13" s="1">
        <v>40.683999999999997</v>
      </c>
      <c r="AK13" s="1">
        <v>5.2039999999999997</v>
      </c>
    </row>
    <row r="14" spans="1:37" x14ac:dyDescent="0.3">
      <c r="A14" s="2">
        <v>1433</v>
      </c>
      <c r="B14" s="9">
        <v>1</v>
      </c>
      <c r="C14" s="2">
        <v>1</v>
      </c>
      <c r="D14" s="2">
        <v>3</v>
      </c>
      <c r="E14" s="9">
        <f>AVERAGE(M50:M54)</f>
        <v>4.0676666666666668</v>
      </c>
      <c r="G14" s="1">
        <v>2</v>
      </c>
      <c r="H14" s="1">
        <v>3.5999999999999997E-2</v>
      </c>
      <c r="I14" s="1">
        <v>152.08099999999999</v>
      </c>
      <c r="J14" s="1">
        <v>70.667000000000002</v>
      </c>
      <c r="K14" s="1">
        <v>192.333</v>
      </c>
      <c r="L14" s="1">
        <v>-90</v>
      </c>
      <c r="M14" s="8">
        <v>4.2220000000000004</v>
      </c>
      <c r="N14" s="3">
        <v>2</v>
      </c>
      <c r="O14" s="1">
        <v>3.1E-2</v>
      </c>
      <c r="P14" s="1">
        <v>152.994</v>
      </c>
      <c r="Q14" s="1">
        <v>53</v>
      </c>
      <c r="R14" s="1">
        <v>193.667</v>
      </c>
      <c r="S14" s="1">
        <v>-90</v>
      </c>
      <c r="T14" s="8">
        <v>3.871</v>
      </c>
      <c r="W14" s="1">
        <v>2</v>
      </c>
      <c r="X14" s="1">
        <v>3.9E-2</v>
      </c>
      <c r="Y14" s="1">
        <v>168.142</v>
      </c>
      <c r="Z14" s="1">
        <v>76.667000000000002</v>
      </c>
      <c r="AA14" s="1">
        <v>222.667</v>
      </c>
      <c r="AB14" s="1">
        <v>0</v>
      </c>
      <c r="AC14" s="1">
        <v>4.9690000000000003</v>
      </c>
      <c r="AE14" s="1">
        <v>2</v>
      </c>
      <c r="AF14" s="1">
        <v>4.1000000000000002E-2</v>
      </c>
      <c r="AG14" s="1">
        <v>170.29400000000001</v>
      </c>
      <c r="AH14" s="1">
        <v>44.667000000000002</v>
      </c>
      <c r="AI14" s="1">
        <v>238.667</v>
      </c>
      <c r="AJ14" s="1">
        <v>0</v>
      </c>
      <c r="AK14" s="1">
        <v>5.3079999999999998</v>
      </c>
    </row>
    <row r="15" spans="1:37" x14ac:dyDescent="0.3">
      <c r="A15" s="2">
        <v>1433</v>
      </c>
      <c r="B15" s="2">
        <v>2</v>
      </c>
      <c r="C15" s="2">
        <v>1</v>
      </c>
      <c r="D15" s="2">
        <v>3</v>
      </c>
      <c r="E15" s="1">
        <f>AVERAGE(M56:M58)</f>
        <v>4.0386666666666668</v>
      </c>
      <c r="G15" s="1">
        <v>3</v>
      </c>
      <c r="H15" s="1">
        <v>3.3000000000000002E-2</v>
      </c>
      <c r="I15" s="1">
        <v>149.32499999999999</v>
      </c>
      <c r="J15" s="1">
        <v>70.667000000000002</v>
      </c>
      <c r="K15" s="1">
        <v>181.09700000000001</v>
      </c>
      <c r="L15" s="1">
        <v>-120.569</v>
      </c>
      <c r="M15" s="8">
        <v>3.831</v>
      </c>
      <c r="N15" s="1">
        <v>3</v>
      </c>
      <c r="O15" s="1">
        <v>0.03</v>
      </c>
      <c r="P15" s="1">
        <v>149.98599999999999</v>
      </c>
      <c r="Q15" s="1">
        <v>53</v>
      </c>
      <c r="R15" s="1">
        <v>180.304</v>
      </c>
      <c r="S15" s="1">
        <v>-120.256</v>
      </c>
      <c r="T15" s="8">
        <v>3.6970000000000001</v>
      </c>
      <c r="W15" s="1">
        <v>3</v>
      </c>
      <c r="X15" s="1">
        <v>3.9E-2</v>
      </c>
      <c r="Y15" s="1">
        <v>167.404</v>
      </c>
      <c r="Z15" s="1">
        <v>76.667000000000002</v>
      </c>
      <c r="AA15" s="1">
        <v>225</v>
      </c>
      <c r="AB15" s="1">
        <v>-20.535</v>
      </c>
      <c r="AC15" s="1">
        <v>4.9889999999999999</v>
      </c>
      <c r="AE15" s="1">
        <v>3</v>
      </c>
      <c r="AF15" s="1">
        <v>4.2000000000000003E-2</v>
      </c>
      <c r="AG15" s="1">
        <v>166.59</v>
      </c>
      <c r="AH15" s="1">
        <v>44.667000000000002</v>
      </c>
      <c r="AI15" s="1">
        <v>228.38900000000001</v>
      </c>
      <c r="AJ15" s="1">
        <v>-20.213000000000001</v>
      </c>
      <c r="AK15" s="1">
        <v>5.41</v>
      </c>
    </row>
    <row r="16" spans="1:37" x14ac:dyDescent="0.3">
      <c r="A16" s="2">
        <v>1433</v>
      </c>
      <c r="B16" s="2">
        <v>3</v>
      </c>
      <c r="C16" s="2">
        <v>1</v>
      </c>
      <c r="D16" s="2">
        <v>3</v>
      </c>
      <c r="E16" s="1">
        <f>AVERAGE(M60:M62)</f>
        <v>4.0666666666666673</v>
      </c>
      <c r="G16" s="4" t="s">
        <v>15</v>
      </c>
      <c r="H16" s="1"/>
      <c r="I16" s="1"/>
      <c r="J16" s="1"/>
      <c r="K16" s="1"/>
      <c r="L16" s="1"/>
      <c r="M16" s="1"/>
      <c r="N16" s="4" t="s">
        <v>8</v>
      </c>
      <c r="O16" s="1"/>
      <c r="P16" s="1"/>
      <c r="Q16" s="1"/>
      <c r="R16" s="1"/>
      <c r="S16" s="1"/>
      <c r="T16" s="8"/>
      <c r="W16" s="4" t="s">
        <v>19</v>
      </c>
      <c r="X16" s="1"/>
      <c r="Y16" s="1"/>
      <c r="Z16" s="1"/>
      <c r="AA16" s="1"/>
      <c r="AB16" s="1"/>
      <c r="AC16" s="1"/>
      <c r="AE16" s="4" t="s">
        <v>15</v>
      </c>
      <c r="AF16" s="1"/>
      <c r="AG16" s="1"/>
      <c r="AH16" s="1"/>
      <c r="AI16" s="1"/>
      <c r="AJ16" s="1"/>
      <c r="AK16" s="1"/>
    </row>
    <row r="17" spans="1:37" x14ac:dyDescent="0.3">
      <c r="A17" s="10"/>
      <c r="B17" s="10"/>
      <c r="C17" s="10"/>
      <c r="D17" s="10"/>
      <c r="E17" s="10"/>
      <c r="G17" s="1">
        <v>4</v>
      </c>
      <c r="H17" s="1">
        <v>3.6999999999999998E-2</v>
      </c>
      <c r="I17" s="1">
        <v>154.286</v>
      </c>
      <c r="J17" s="1">
        <v>18.332999999999998</v>
      </c>
      <c r="K17" s="1">
        <v>199.73</v>
      </c>
      <c r="L17" s="1">
        <v>-40.21</v>
      </c>
      <c r="M17" s="8">
        <v>4.3419999999999996</v>
      </c>
      <c r="N17" s="1">
        <v>4</v>
      </c>
      <c r="O17" s="1">
        <v>3.2000000000000001E-2</v>
      </c>
      <c r="P17" s="1">
        <v>154.96199999999999</v>
      </c>
      <c r="Q17" s="1">
        <v>140.886</v>
      </c>
      <c r="R17" s="1">
        <v>188.44200000000001</v>
      </c>
      <c r="S17" s="1">
        <v>-40.073</v>
      </c>
      <c r="T17" s="8">
        <v>3.984</v>
      </c>
      <c r="W17" s="1">
        <v>1</v>
      </c>
      <c r="X17" s="1">
        <v>4.2999999999999997E-2</v>
      </c>
      <c r="Y17" s="1">
        <v>180.34200000000001</v>
      </c>
      <c r="Z17" s="1">
        <v>151.667</v>
      </c>
      <c r="AA17" s="1">
        <v>232.934</v>
      </c>
      <c r="AB17" s="1">
        <v>40.207999999999998</v>
      </c>
      <c r="AC17" s="1">
        <v>5.5549999999999997</v>
      </c>
      <c r="AE17" s="1">
        <v>4</v>
      </c>
      <c r="AF17" s="1">
        <v>4.1000000000000002E-2</v>
      </c>
      <c r="AG17" s="1">
        <v>174.31200000000001</v>
      </c>
      <c r="AH17" s="1">
        <v>73.332999999999998</v>
      </c>
      <c r="AI17" s="1">
        <v>226.55600000000001</v>
      </c>
      <c r="AJ17" s="1">
        <v>40.411999999999999</v>
      </c>
      <c r="AK17" s="1">
        <v>5.3040000000000003</v>
      </c>
    </row>
    <row r="18" spans="1:37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G18" s="1">
        <v>5</v>
      </c>
      <c r="H18" s="1">
        <v>3.6999999999999998E-2</v>
      </c>
      <c r="I18" s="1">
        <v>155.37799999999999</v>
      </c>
      <c r="J18" s="1">
        <v>18.332999999999998</v>
      </c>
      <c r="K18" s="1">
        <v>206</v>
      </c>
      <c r="L18" s="1">
        <v>-90</v>
      </c>
      <c r="M18" s="8">
        <v>4.29</v>
      </c>
      <c r="N18" s="1">
        <v>5</v>
      </c>
      <c r="O18" s="1">
        <v>3.2000000000000001E-2</v>
      </c>
      <c r="P18" s="1">
        <v>156.964</v>
      </c>
      <c r="Q18" s="1">
        <v>133.333</v>
      </c>
      <c r="R18" s="1">
        <v>190.667</v>
      </c>
      <c r="S18" s="1">
        <v>-90</v>
      </c>
      <c r="T18" s="8">
        <v>3.919</v>
      </c>
      <c r="W18" s="1">
        <v>2</v>
      </c>
      <c r="X18" s="1">
        <v>4.2000000000000003E-2</v>
      </c>
      <c r="Y18" s="1">
        <v>180.01300000000001</v>
      </c>
      <c r="Z18" s="1">
        <v>147</v>
      </c>
      <c r="AA18" s="1">
        <v>236.333</v>
      </c>
      <c r="AB18" s="1">
        <v>0</v>
      </c>
      <c r="AC18" s="1">
        <v>5.3440000000000003</v>
      </c>
      <c r="AE18" s="1">
        <v>5</v>
      </c>
      <c r="AF18" s="1">
        <v>3.9E-2</v>
      </c>
      <c r="AG18" s="1">
        <v>175.238</v>
      </c>
      <c r="AH18" s="1">
        <v>73.332999999999998</v>
      </c>
      <c r="AI18" s="1">
        <v>246</v>
      </c>
      <c r="AJ18" s="1">
        <v>0</v>
      </c>
      <c r="AK18" s="1">
        <v>5.0309999999999997</v>
      </c>
    </row>
    <row r="19" spans="1:37" x14ac:dyDescent="0.3">
      <c r="A19" s="2" t="s">
        <v>17</v>
      </c>
      <c r="B19" s="2">
        <v>1</v>
      </c>
      <c r="C19" s="2">
        <v>1</v>
      </c>
      <c r="D19" s="2">
        <v>4</v>
      </c>
      <c r="E19" s="2">
        <f>AVERAGE(AC50:AC54)</f>
        <v>5.0506666666666673</v>
      </c>
      <c r="G19" s="1">
        <v>6</v>
      </c>
      <c r="H19" s="1">
        <v>3.5000000000000003E-2</v>
      </c>
      <c r="I19" s="1">
        <v>153.49299999999999</v>
      </c>
      <c r="J19" s="1">
        <v>18.332999999999998</v>
      </c>
      <c r="K19" s="1">
        <v>204.566</v>
      </c>
      <c r="L19" s="1">
        <v>-120.63500000000001</v>
      </c>
      <c r="M19" s="8">
        <v>4.0919999999999996</v>
      </c>
      <c r="N19" s="1">
        <v>6</v>
      </c>
      <c r="O19" s="1">
        <v>3.1E-2</v>
      </c>
      <c r="P19" s="1">
        <v>153.001</v>
      </c>
      <c r="Q19" s="1">
        <v>131.32400000000001</v>
      </c>
      <c r="R19" s="1">
        <v>184.98500000000001</v>
      </c>
      <c r="S19" s="1">
        <v>-120.71899999999999</v>
      </c>
      <c r="T19" s="8">
        <v>3.8839999999999999</v>
      </c>
      <c r="W19" s="1">
        <v>3</v>
      </c>
      <c r="X19" s="1">
        <v>0.04</v>
      </c>
      <c r="Y19" s="1">
        <v>175.852</v>
      </c>
      <c r="Z19" s="1">
        <v>136.667</v>
      </c>
      <c r="AA19" s="1">
        <v>233.11099999999999</v>
      </c>
      <c r="AB19" s="1">
        <v>-20.186</v>
      </c>
      <c r="AC19" s="1">
        <v>5.0940000000000003</v>
      </c>
      <c r="AE19" s="1">
        <v>6</v>
      </c>
      <c r="AF19" s="1">
        <v>0.04</v>
      </c>
      <c r="AG19" s="1">
        <v>172.006</v>
      </c>
      <c r="AH19" s="1">
        <v>73.332999999999998</v>
      </c>
      <c r="AI19" s="1">
        <v>240.608</v>
      </c>
      <c r="AJ19" s="1">
        <v>-20.288</v>
      </c>
      <c r="AK19" s="1">
        <v>5.1909999999999998</v>
      </c>
    </row>
    <row r="20" spans="1:37" x14ac:dyDescent="0.3">
      <c r="A20" s="2" t="s">
        <v>17</v>
      </c>
      <c r="B20" s="2">
        <v>2</v>
      </c>
      <c r="C20" s="2">
        <v>1</v>
      </c>
      <c r="D20" s="2">
        <v>4</v>
      </c>
      <c r="E20" s="2">
        <f>AVERAGE(AC56:AC58)</f>
        <v>5.362333333333333</v>
      </c>
      <c r="G20" s="4" t="s">
        <v>16</v>
      </c>
      <c r="H20" s="1"/>
      <c r="I20" s="1"/>
      <c r="J20" s="1"/>
      <c r="K20" s="1"/>
      <c r="L20" s="1"/>
      <c r="M20" s="8"/>
      <c r="N20" s="4" t="s">
        <v>9</v>
      </c>
      <c r="O20" s="1"/>
      <c r="P20" s="1"/>
      <c r="Q20" s="1"/>
      <c r="R20" s="1"/>
      <c r="S20" s="1"/>
      <c r="T20" s="8"/>
      <c r="W20" s="4" t="s">
        <v>20</v>
      </c>
      <c r="X20" s="1"/>
      <c r="Y20" s="1"/>
      <c r="Z20" s="1"/>
      <c r="AA20" s="1"/>
      <c r="AB20" s="1"/>
      <c r="AC20" s="1"/>
      <c r="AE20" s="4" t="s">
        <v>16</v>
      </c>
      <c r="AF20" s="1"/>
      <c r="AG20" s="1"/>
      <c r="AH20" s="1"/>
      <c r="AI20" s="1"/>
      <c r="AJ20" s="1"/>
      <c r="AK20" s="1"/>
    </row>
    <row r="21" spans="1:37" x14ac:dyDescent="0.3">
      <c r="A21" s="2" t="s">
        <v>17</v>
      </c>
      <c r="B21" s="2">
        <v>3</v>
      </c>
      <c r="C21" s="2">
        <v>1</v>
      </c>
      <c r="D21" s="2">
        <v>4</v>
      </c>
      <c r="E21" s="2">
        <f>AVERAGE(AC60:AC62)</f>
        <v>5.5326666666666666</v>
      </c>
      <c r="G21" s="1">
        <v>7</v>
      </c>
      <c r="H21" s="1">
        <v>3.7999999999999999E-2</v>
      </c>
      <c r="I21" s="1">
        <v>156.00200000000001</v>
      </c>
      <c r="J21" s="1">
        <v>88.667000000000002</v>
      </c>
      <c r="K21" s="1">
        <v>210.613</v>
      </c>
      <c r="L21" s="1">
        <v>-40.566000000000003</v>
      </c>
      <c r="M21" s="8">
        <v>4.4550000000000001</v>
      </c>
      <c r="N21" s="1">
        <v>7</v>
      </c>
      <c r="O21" s="1">
        <v>3.1E-2</v>
      </c>
      <c r="P21" s="1">
        <v>156.57</v>
      </c>
      <c r="Q21" s="1">
        <v>138.333</v>
      </c>
      <c r="R21" s="1">
        <v>204.333</v>
      </c>
      <c r="S21" s="1">
        <v>-39.898000000000003</v>
      </c>
      <c r="T21" s="8">
        <v>3.847</v>
      </c>
      <c r="W21" s="1">
        <v>4</v>
      </c>
      <c r="X21" s="1">
        <v>4.3999999999999997E-2</v>
      </c>
      <c r="Y21" s="1">
        <v>170.19399999999999</v>
      </c>
      <c r="Z21" s="1">
        <v>46.667000000000002</v>
      </c>
      <c r="AA21" s="1">
        <v>226.70500000000001</v>
      </c>
      <c r="AB21" s="1">
        <v>40.088000000000001</v>
      </c>
      <c r="AC21" s="1">
        <v>5.6779999999999999</v>
      </c>
      <c r="AE21" s="1">
        <v>7</v>
      </c>
      <c r="AF21" s="1">
        <v>4.2999999999999997E-2</v>
      </c>
      <c r="AG21" s="1">
        <v>179.34399999999999</v>
      </c>
      <c r="AH21" s="1">
        <v>27.875</v>
      </c>
      <c r="AI21" s="1">
        <v>231.61600000000001</v>
      </c>
      <c r="AJ21" s="1">
        <v>40.32</v>
      </c>
      <c r="AK21" s="1">
        <v>5.5990000000000002</v>
      </c>
    </row>
    <row r="22" spans="1:37" x14ac:dyDescent="0.3">
      <c r="A22" s="2">
        <v>1260</v>
      </c>
      <c r="B22" s="2">
        <v>1</v>
      </c>
      <c r="C22" s="2">
        <v>1</v>
      </c>
      <c r="D22" s="2">
        <v>4</v>
      </c>
      <c r="E22" s="2">
        <f>AVERAGE(AK26:AK28)</f>
        <v>5.176333333333333</v>
      </c>
      <c r="G22" s="1">
        <v>8</v>
      </c>
      <c r="H22" s="1">
        <v>0.04</v>
      </c>
      <c r="I22" s="1">
        <v>156.184</v>
      </c>
      <c r="J22" s="1">
        <v>88.667000000000002</v>
      </c>
      <c r="K22" s="1">
        <v>211</v>
      </c>
      <c r="L22" s="1">
        <v>-90</v>
      </c>
      <c r="M22" s="8">
        <v>4.6150000000000002</v>
      </c>
      <c r="N22" s="1">
        <v>8</v>
      </c>
      <c r="O22" s="1">
        <v>3.2000000000000001E-2</v>
      </c>
      <c r="P22" s="1">
        <v>161.00200000000001</v>
      </c>
      <c r="Q22" s="1">
        <v>134.333</v>
      </c>
      <c r="R22" s="1">
        <v>204.333</v>
      </c>
      <c r="S22" s="1">
        <v>-90</v>
      </c>
      <c r="T22" s="8">
        <v>3.968</v>
      </c>
      <c r="W22" s="1">
        <v>5</v>
      </c>
      <c r="X22" s="1">
        <v>4.2999999999999997E-2</v>
      </c>
      <c r="Y22" s="1">
        <v>170.46199999999999</v>
      </c>
      <c r="Z22" s="1">
        <v>46.667000000000002</v>
      </c>
      <c r="AA22" s="1">
        <v>238.667</v>
      </c>
      <c r="AB22" s="1">
        <v>0</v>
      </c>
      <c r="AC22" s="1">
        <v>5.5</v>
      </c>
      <c r="AE22" s="1">
        <v>8</v>
      </c>
      <c r="AF22" s="1">
        <v>4.4999999999999998E-2</v>
      </c>
      <c r="AG22" s="1">
        <v>174.87799999999999</v>
      </c>
      <c r="AH22" s="1">
        <v>39.332999999999998</v>
      </c>
      <c r="AI22" s="1">
        <v>237</v>
      </c>
      <c r="AJ22" s="1">
        <v>0</v>
      </c>
      <c r="AK22" s="1">
        <v>5.8849999999999998</v>
      </c>
    </row>
    <row r="23" spans="1:37" x14ac:dyDescent="0.3">
      <c r="A23" s="2">
        <v>1260</v>
      </c>
      <c r="B23" s="2">
        <v>2</v>
      </c>
      <c r="C23" s="2">
        <v>1</v>
      </c>
      <c r="D23" s="2">
        <v>4</v>
      </c>
      <c r="E23" s="2">
        <f>AVERAGE(AK32:AK34)</f>
        <v>5.2823333333333338</v>
      </c>
      <c r="G23" s="1">
        <v>9</v>
      </c>
      <c r="H23" s="1">
        <v>0.04</v>
      </c>
      <c r="I23" s="1">
        <v>155.60300000000001</v>
      </c>
      <c r="J23" s="1">
        <v>88.667000000000002</v>
      </c>
      <c r="K23" s="1">
        <v>209.714</v>
      </c>
      <c r="L23" s="1">
        <v>-120.256</v>
      </c>
      <c r="M23" s="8">
        <v>4.63</v>
      </c>
      <c r="N23" s="1">
        <v>9</v>
      </c>
      <c r="O23" s="1">
        <v>3.1E-2</v>
      </c>
      <c r="P23" s="1">
        <v>162.05199999999999</v>
      </c>
      <c r="Q23" s="1">
        <v>132.459</v>
      </c>
      <c r="R23" s="1">
        <v>204.333</v>
      </c>
      <c r="S23" s="1">
        <v>-120.902</v>
      </c>
      <c r="T23" s="8">
        <v>3.863</v>
      </c>
      <c r="W23" s="1">
        <v>6</v>
      </c>
      <c r="X23" s="1">
        <v>4.4999999999999998E-2</v>
      </c>
      <c r="Y23" s="1">
        <v>171.89</v>
      </c>
      <c r="Z23" s="1">
        <v>46.667000000000002</v>
      </c>
      <c r="AA23" s="1">
        <v>233.21700000000001</v>
      </c>
      <c r="AB23" s="1">
        <v>-20.225000000000001</v>
      </c>
      <c r="AC23" s="1">
        <v>5.6950000000000003</v>
      </c>
      <c r="AE23" s="1">
        <v>9</v>
      </c>
      <c r="AF23" s="1">
        <v>4.3999999999999997E-2</v>
      </c>
      <c r="AG23" s="1">
        <v>177.10300000000001</v>
      </c>
      <c r="AH23" s="1">
        <v>44.747</v>
      </c>
      <c r="AI23" s="1">
        <v>236.90100000000001</v>
      </c>
      <c r="AJ23" s="1">
        <v>-20.042000000000002</v>
      </c>
      <c r="AK23" s="1">
        <v>5.7240000000000002</v>
      </c>
    </row>
    <row r="24" spans="1:37" x14ac:dyDescent="0.3">
      <c r="A24" s="2">
        <v>1260</v>
      </c>
      <c r="B24" s="2">
        <v>3</v>
      </c>
      <c r="C24" s="2">
        <v>1</v>
      </c>
      <c r="D24" s="2">
        <v>4</v>
      </c>
      <c r="E24" s="2">
        <f>AVERAGE(AK36:AK38)</f>
        <v>5.426333333333333</v>
      </c>
    </row>
    <row r="25" spans="1:37" x14ac:dyDescent="0.3">
      <c r="A25" s="2">
        <v>1263</v>
      </c>
      <c r="B25" s="2">
        <v>1</v>
      </c>
      <c r="C25" s="2">
        <v>1</v>
      </c>
      <c r="D25" s="2">
        <v>4</v>
      </c>
      <c r="E25" s="2">
        <f>AVERAGE(AC13:AC15)</f>
        <v>4.96</v>
      </c>
      <c r="G25" s="4" t="s">
        <v>18</v>
      </c>
      <c r="H25" s="1"/>
      <c r="I25" s="1"/>
      <c r="J25" s="1"/>
      <c r="K25" s="1"/>
      <c r="L25" s="1"/>
      <c r="M25" s="1"/>
      <c r="N25" s="4" t="s">
        <v>11</v>
      </c>
      <c r="O25" s="1"/>
      <c r="P25" s="1"/>
      <c r="Q25" s="1"/>
      <c r="R25" s="1"/>
      <c r="S25" s="1"/>
      <c r="T25" s="8"/>
      <c r="W25" s="4" t="s">
        <v>21</v>
      </c>
      <c r="X25" s="1"/>
      <c r="Y25" s="1"/>
      <c r="Z25" s="1"/>
      <c r="AA25" s="1"/>
      <c r="AB25" s="1"/>
      <c r="AC25" s="1"/>
      <c r="AE25" s="4" t="s">
        <v>26</v>
      </c>
      <c r="AF25" s="1"/>
      <c r="AG25" s="1"/>
      <c r="AH25" s="1"/>
      <c r="AI25" s="1"/>
      <c r="AJ25" s="1"/>
      <c r="AK25" s="1"/>
    </row>
    <row r="26" spans="1:37" x14ac:dyDescent="0.3">
      <c r="A26" s="2">
        <v>1263</v>
      </c>
      <c r="B26" s="2"/>
      <c r="C26" s="2">
        <v>1</v>
      </c>
      <c r="D26" s="2">
        <v>4</v>
      </c>
      <c r="E26" s="2">
        <f>AVERAGE(AC17:AC19)</f>
        <v>5.3310000000000004</v>
      </c>
      <c r="G26" s="1">
        <v>1</v>
      </c>
      <c r="H26" s="1">
        <v>3.2000000000000001E-2</v>
      </c>
      <c r="I26" s="1">
        <v>150.916</v>
      </c>
      <c r="J26" s="1">
        <v>125.556</v>
      </c>
      <c r="K26" s="1">
        <v>191.333</v>
      </c>
      <c r="L26" s="1">
        <v>-40.521999999999998</v>
      </c>
      <c r="M26" s="1">
        <v>3.86</v>
      </c>
      <c r="N26" s="1">
        <v>1</v>
      </c>
      <c r="O26" s="1">
        <v>3.6999999999999998E-2</v>
      </c>
      <c r="P26" s="1">
        <v>153.81</v>
      </c>
      <c r="Q26" s="1">
        <v>25</v>
      </c>
      <c r="R26" s="1">
        <v>196.30199999999999</v>
      </c>
      <c r="S26" s="1">
        <v>-40.314</v>
      </c>
      <c r="T26" s="8">
        <v>4.4009999999999998</v>
      </c>
      <c r="W26" s="1">
        <v>1</v>
      </c>
      <c r="X26" s="1">
        <v>0.04</v>
      </c>
      <c r="Y26" s="1">
        <v>162.49100000000001</v>
      </c>
      <c r="Z26" s="1">
        <v>33.268999999999998</v>
      </c>
      <c r="AA26" s="1">
        <v>211.22200000000001</v>
      </c>
      <c r="AB26" s="1">
        <v>40.415999999999997</v>
      </c>
      <c r="AC26" s="1">
        <v>5.173</v>
      </c>
      <c r="AE26" s="1">
        <v>1</v>
      </c>
      <c r="AF26" s="1">
        <v>0.04</v>
      </c>
      <c r="AG26" s="1">
        <v>165.77799999999999</v>
      </c>
      <c r="AH26" s="1">
        <v>78.381</v>
      </c>
      <c r="AI26" s="1">
        <v>207.46700000000001</v>
      </c>
      <c r="AJ26" s="1">
        <v>40.600999999999999</v>
      </c>
      <c r="AK26" s="1">
        <v>5.3079999999999998</v>
      </c>
    </row>
    <row r="27" spans="1:37" x14ac:dyDescent="0.3">
      <c r="A27" s="2">
        <v>1263</v>
      </c>
      <c r="B27" s="2">
        <v>3</v>
      </c>
      <c r="C27" s="2">
        <v>1</v>
      </c>
      <c r="D27" s="2">
        <v>4</v>
      </c>
      <c r="E27" s="2">
        <f>AVERAGE(AC21:AC23)</f>
        <v>5.6243333333333334</v>
      </c>
      <c r="G27" s="1">
        <v>2</v>
      </c>
      <c r="H27" s="1">
        <v>3.2000000000000001E-2</v>
      </c>
      <c r="I27" s="1">
        <v>151.565</v>
      </c>
      <c r="J27" s="1">
        <v>123.333</v>
      </c>
      <c r="K27" s="1">
        <v>197</v>
      </c>
      <c r="L27" s="1">
        <v>-90</v>
      </c>
      <c r="M27" s="1">
        <v>3.95</v>
      </c>
      <c r="N27" s="1">
        <v>2</v>
      </c>
      <c r="O27" s="1">
        <v>3.6999999999999998E-2</v>
      </c>
      <c r="P27" s="1">
        <v>155.26400000000001</v>
      </c>
      <c r="Q27" s="1">
        <v>25</v>
      </c>
      <c r="R27" s="1">
        <v>193.845</v>
      </c>
      <c r="S27" s="1">
        <v>-90.221999999999994</v>
      </c>
      <c r="T27" s="8">
        <v>4.3719999999999999</v>
      </c>
      <c r="W27" s="1">
        <v>2</v>
      </c>
      <c r="X27" s="1">
        <v>3.9E-2</v>
      </c>
      <c r="Y27" s="1">
        <v>165.62200000000001</v>
      </c>
      <c r="Z27" s="1">
        <v>125</v>
      </c>
      <c r="AA27" s="1">
        <v>227</v>
      </c>
      <c r="AB27" s="1">
        <v>0</v>
      </c>
      <c r="AC27" s="1">
        <v>5.0460000000000003</v>
      </c>
      <c r="AE27" s="1">
        <v>2</v>
      </c>
      <c r="AF27" s="1">
        <v>3.9E-2</v>
      </c>
      <c r="AG27" s="1">
        <v>166.749</v>
      </c>
      <c r="AH27" s="1">
        <v>70</v>
      </c>
      <c r="AI27" s="1">
        <v>221.333</v>
      </c>
      <c r="AJ27" s="1">
        <v>0</v>
      </c>
      <c r="AK27" s="1">
        <v>5.1210000000000004</v>
      </c>
    </row>
    <row r="28" spans="1:37" x14ac:dyDescent="0.3">
      <c r="A28" s="9">
        <v>1264</v>
      </c>
      <c r="B28" s="9">
        <v>1</v>
      </c>
      <c r="C28" s="2">
        <v>1</v>
      </c>
      <c r="D28" s="2">
        <v>4</v>
      </c>
      <c r="E28" s="9">
        <f>AVERAGE(AK13:AK15)</f>
        <v>5.3073333333333332</v>
      </c>
      <c r="G28" s="1">
        <v>3</v>
      </c>
      <c r="H28" s="1">
        <v>3.3000000000000002E-2</v>
      </c>
      <c r="I28" s="1">
        <v>150.14099999999999</v>
      </c>
      <c r="J28" s="1">
        <v>126.081</v>
      </c>
      <c r="K28" s="1">
        <v>193.81700000000001</v>
      </c>
      <c r="L28" s="1">
        <v>-120.24</v>
      </c>
      <c r="M28" s="1">
        <v>4.0030000000000001</v>
      </c>
      <c r="N28" s="1">
        <v>3</v>
      </c>
      <c r="O28" s="1">
        <v>3.6999999999999998E-2</v>
      </c>
      <c r="P28" s="1">
        <v>150.96899999999999</v>
      </c>
      <c r="Q28" s="1">
        <v>24.471</v>
      </c>
      <c r="R28" s="1">
        <v>184.84200000000001</v>
      </c>
      <c r="S28" s="1">
        <v>-120.129</v>
      </c>
      <c r="T28" s="8">
        <v>4.3890000000000002</v>
      </c>
      <c r="W28" s="1">
        <v>3</v>
      </c>
      <c r="X28" s="1">
        <v>3.9E-2</v>
      </c>
      <c r="Y28" s="1">
        <v>159.136</v>
      </c>
      <c r="Z28" s="1">
        <v>124.193</v>
      </c>
      <c r="AA28" s="1">
        <v>216.08799999999999</v>
      </c>
      <c r="AB28" s="1">
        <v>-20.760999999999999</v>
      </c>
      <c r="AC28" s="1">
        <v>5.0350000000000001</v>
      </c>
      <c r="AE28" s="1">
        <v>3</v>
      </c>
      <c r="AF28" s="1">
        <v>3.9E-2</v>
      </c>
      <c r="AG28" s="1">
        <v>164.81200000000001</v>
      </c>
      <c r="AH28" s="1">
        <v>57.503</v>
      </c>
      <c r="AI28" s="1">
        <v>204.64</v>
      </c>
      <c r="AJ28" s="1">
        <v>-20.158000000000001</v>
      </c>
      <c r="AK28" s="1">
        <v>5.0999999999999996</v>
      </c>
    </row>
    <row r="29" spans="1:37" x14ac:dyDescent="0.3">
      <c r="A29" s="9">
        <v>1264</v>
      </c>
      <c r="B29" s="9">
        <v>2</v>
      </c>
      <c r="C29" s="2">
        <v>1</v>
      </c>
      <c r="D29" s="2">
        <v>4</v>
      </c>
      <c r="E29" s="9">
        <f>AVERAGE(AK17:AK19)</f>
        <v>5.1753333333333336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"/>
      <c r="W29" s="1"/>
      <c r="X29" s="1"/>
      <c r="Y29" s="1"/>
      <c r="Z29" s="1"/>
      <c r="AA29" s="1"/>
      <c r="AB29" s="1"/>
      <c r="AC29" s="1"/>
      <c r="AE29" s="1"/>
      <c r="AF29" s="1"/>
      <c r="AG29" s="1"/>
      <c r="AH29" s="1"/>
      <c r="AI29" s="1"/>
      <c r="AJ29" s="1"/>
      <c r="AK29" s="1"/>
    </row>
    <row r="30" spans="1:37" x14ac:dyDescent="0.3">
      <c r="A30" s="9">
        <v>1264</v>
      </c>
      <c r="B30" s="9">
        <v>3</v>
      </c>
      <c r="C30" s="2">
        <v>1</v>
      </c>
      <c r="D30" s="2">
        <v>4</v>
      </c>
      <c r="E30" s="9">
        <f>AVERAGE(AK21:AK23)</f>
        <v>5.7359999999999998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"/>
      <c r="W30" s="1"/>
      <c r="X30" s="1"/>
      <c r="Y30" s="1"/>
      <c r="Z30" s="1"/>
      <c r="AA30" s="1"/>
      <c r="AB30" s="1"/>
      <c r="AC30" s="1"/>
      <c r="AE30" s="1"/>
      <c r="AF30" s="1"/>
      <c r="AG30" s="1"/>
      <c r="AH30" s="1"/>
      <c r="AI30" s="1"/>
      <c r="AJ30" s="1"/>
      <c r="AK30" s="1"/>
    </row>
    <row r="31" spans="1:37" x14ac:dyDescent="0.3">
      <c r="A31" s="2">
        <v>1433</v>
      </c>
      <c r="B31" s="9">
        <v>1</v>
      </c>
      <c r="C31" s="2">
        <v>1</v>
      </c>
      <c r="D31" s="2">
        <v>4</v>
      </c>
      <c r="E31" s="9">
        <f>AVERAGE(AC26:AC28)</f>
        <v>5.0846666666666671</v>
      </c>
      <c r="G31" s="4" t="s">
        <v>19</v>
      </c>
      <c r="H31" s="1"/>
      <c r="I31" s="1"/>
      <c r="J31" s="1"/>
      <c r="K31" s="1"/>
      <c r="L31" s="1"/>
      <c r="M31" s="1"/>
      <c r="N31" s="4" t="s">
        <v>12</v>
      </c>
      <c r="O31" s="1"/>
      <c r="P31" s="1"/>
      <c r="Q31" s="1"/>
      <c r="R31" s="1"/>
      <c r="S31" s="1"/>
      <c r="T31" s="8"/>
      <c r="W31" s="4" t="s">
        <v>22</v>
      </c>
      <c r="X31" s="12" t="s">
        <v>25</v>
      </c>
      <c r="Y31" s="1"/>
      <c r="Z31" s="1"/>
      <c r="AA31" s="1"/>
      <c r="AB31" s="1"/>
      <c r="AC31" s="1"/>
      <c r="AE31" s="4" t="s">
        <v>8</v>
      </c>
      <c r="AF31" s="1"/>
      <c r="AG31" s="1"/>
      <c r="AH31" s="1"/>
      <c r="AI31" s="1"/>
      <c r="AJ31" s="1"/>
      <c r="AK31" s="1"/>
    </row>
    <row r="32" spans="1:37" x14ac:dyDescent="0.3">
      <c r="A32" s="2">
        <v>1433</v>
      </c>
      <c r="B32" s="2">
        <v>2</v>
      </c>
      <c r="C32" s="2">
        <v>1</v>
      </c>
      <c r="D32" s="2">
        <v>4</v>
      </c>
      <c r="E32" s="1">
        <f>AVERAGE(AC32:AC34)</f>
        <v>4.5010000000000003</v>
      </c>
      <c r="G32" s="1">
        <v>4</v>
      </c>
      <c r="H32" s="1">
        <v>3.3000000000000002E-2</v>
      </c>
      <c r="I32" s="1">
        <v>155.80199999999999</v>
      </c>
      <c r="J32" s="1">
        <v>53</v>
      </c>
      <c r="K32" s="1">
        <v>200.58699999999999</v>
      </c>
      <c r="L32" s="1">
        <v>-40.100999999999999</v>
      </c>
      <c r="M32" s="1">
        <v>4.0709999999999997</v>
      </c>
      <c r="N32" s="1">
        <v>4</v>
      </c>
      <c r="O32" s="1">
        <v>3.5999999999999997E-2</v>
      </c>
      <c r="P32" s="1">
        <v>156.65299999999999</v>
      </c>
      <c r="Q32" s="1">
        <v>17</v>
      </c>
      <c r="R32" s="1">
        <v>194.96</v>
      </c>
      <c r="S32" s="1">
        <v>-40.277000000000001</v>
      </c>
      <c r="T32" s="8">
        <v>4.22</v>
      </c>
      <c r="W32" s="1">
        <v>4</v>
      </c>
      <c r="X32" s="1">
        <v>3.5000000000000003E-2</v>
      </c>
      <c r="Y32" s="1">
        <v>166.43600000000001</v>
      </c>
      <c r="Z32" s="1">
        <v>38.728999999999999</v>
      </c>
      <c r="AA32" s="1">
        <v>213.3</v>
      </c>
      <c r="AB32" s="1">
        <v>40.305</v>
      </c>
      <c r="AC32" s="1">
        <v>4.5190000000000001</v>
      </c>
      <c r="AE32" s="1">
        <v>4</v>
      </c>
      <c r="AF32" s="1">
        <v>0.04</v>
      </c>
      <c r="AG32" s="1">
        <v>173.61099999999999</v>
      </c>
      <c r="AH32" s="1">
        <v>67</v>
      </c>
      <c r="AI32" s="1">
        <v>223.83600000000001</v>
      </c>
      <c r="AJ32" s="1">
        <v>40.389000000000003</v>
      </c>
      <c r="AK32" s="1">
        <v>5.3310000000000004</v>
      </c>
    </row>
    <row r="33" spans="1:37" x14ac:dyDescent="0.3">
      <c r="A33" s="2">
        <v>1433</v>
      </c>
      <c r="B33" s="2">
        <v>3</v>
      </c>
      <c r="C33" s="2">
        <v>1</v>
      </c>
      <c r="D33" s="2">
        <v>4</v>
      </c>
      <c r="E33" s="1">
        <f>AVERAGE(AC36:AC38)</f>
        <v>5.3619999999999992</v>
      </c>
      <c r="G33" s="1">
        <v>5</v>
      </c>
      <c r="H33" s="1">
        <v>3.3000000000000002E-2</v>
      </c>
      <c r="I33" s="1">
        <v>160.22800000000001</v>
      </c>
      <c r="J33" s="1">
        <v>53</v>
      </c>
      <c r="K33" s="1">
        <v>202.333</v>
      </c>
      <c r="L33" s="1">
        <v>-90</v>
      </c>
      <c r="M33" s="1">
        <v>4.032</v>
      </c>
      <c r="N33" s="1">
        <v>5</v>
      </c>
      <c r="O33" s="1">
        <v>3.5999999999999997E-2</v>
      </c>
      <c r="P33" s="1">
        <v>157.52799999999999</v>
      </c>
      <c r="Q33" s="1">
        <v>17</v>
      </c>
      <c r="R33" s="1">
        <v>201</v>
      </c>
      <c r="S33" s="1">
        <v>-90</v>
      </c>
      <c r="T33" s="8">
        <v>4.2370000000000001</v>
      </c>
      <c r="W33" s="1">
        <v>5</v>
      </c>
      <c r="X33" s="1">
        <v>3.5000000000000003E-2</v>
      </c>
      <c r="Y33" s="1">
        <v>163.82599999999999</v>
      </c>
      <c r="Z33" s="1">
        <v>53.667000000000002</v>
      </c>
      <c r="AA33" s="1">
        <v>220.667</v>
      </c>
      <c r="AB33" s="1">
        <v>0</v>
      </c>
      <c r="AC33" s="1">
        <v>4.5540000000000003</v>
      </c>
      <c r="AE33" s="1">
        <v>5</v>
      </c>
      <c r="AF33" s="1">
        <v>0.04</v>
      </c>
      <c r="AG33" s="1">
        <v>172.845</v>
      </c>
      <c r="AH33" s="1">
        <v>67</v>
      </c>
      <c r="AI33" s="1">
        <v>225</v>
      </c>
      <c r="AJ33" s="1">
        <v>0</v>
      </c>
      <c r="AK33" s="1">
        <v>5.242</v>
      </c>
    </row>
    <row r="34" spans="1:37" x14ac:dyDescent="0.3">
      <c r="A34" s="10"/>
      <c r="B34" s="10"/>
      <c r="C34" s="10"/>
      <c r="D34" s="10"/>
      <c r="E34" s="10"/>
      <c r="G34" s="1">
        <v>6</v>
      </c>
      <c r="H34" s="1">
        <v>3.2000000000000001E-2</v>
      </c>
      <c r="I34" s="1">
        <v>154.22499999999999</v>
      </c>
      <c r="J34" s="1">
        <v>53</v>
      </c>
      <c r="K34" s="1">
        <v>199.04499999999999</v>
      </c>
      <c r="L34" s="1">
        <v>-120.551</v>
      </c>
      <c r="M34" s="1">
        <v>3.9020000000000001</v>
      </c>
      <c r="N34" s="1">
        <v>6</v>
      </c>
      <c r="O34" s="1">
        <v>3.9E-2</v>
      </c>
      <c r="P34" s="1">
        <v>154.33199999999999</v>
      </c>
      <c r="Q34" s="1">
        <v>17</v>
      </c>
      <c r="R34" s="1">
        <v>193.178</v>
      </c>
      <c r="S34" s="1">
        <v>-120.19499999999999</v>
      </c>
      <c r="T34" s="8">
        <v>4.5490000000000004</v>
      </c>
      <c r="W34" s="1">
        <v>6</v>
      </c>
      <c r="X34" s="1">
        <v>3.4000000000000002E-2</v>
      </c>
      <c r="Y34" s="1">
        <v>168.09899999999999</v>
      </c>
      <c r="Z34" s="1">
        <v>65.667000000000002</v>
      </c>
      <c r="AA34" s="1">
        <v>232.22200000000001</v>
      </c>
      <c r="AB34" s="1">
        <v>-20.323</v>
      </c>
      <c r="AC34" s="1">
        <v>4.43</v>
      </c>
      <c r="AE34" s="1">
        <v>6</v>
      </c>
      <c r="AF34" s="1">
        <v>0.04</v>
      </c>
      <c r="AG34" s="1">
        <v>168.459</v>
      </c>
      <c r="AH34" s="1">
        <v>67</v>
      </c>
      <c r="AI34" s="1">
        <v>221.56200000000001</v>
      </c>
      <c r="AJ34" s="1">
        <v>-20.518000000000001</v>
      </c>
      <c r="AK34" s="1">
        <v>5.274</v>
      </c>
    </row>
    <row r="35" spans="1:37" x14ac:dyDescent="0.3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G35" s="4" t="s">
        <v>20</v>
      </c>
      <c r="H35" s="1"/>
      <c r="I35" s="1"/>
      <c r="J35" s="1"/>
      <c r="K35" s="1"/>
      <c r="L35" s="1"/>
      <c r="M35" s="1"/>
      <c r="N35" s="4" t="s">
        <v>13</v>
      </c>
      <c r="O35" s="1"/>
      <c r="P35" s="1"/>
      <c r="Q35" s="1"/>
      <c r="R35" s="1"/>
      <c r="S35" s="1"/>
      <c r="T35" s="8"/>
      <c r="W35" s="4" t="s">
        <v>23</v>
      </c>
      <c r="X35" s="1"/>
      <c r="Y35" s="1"/>
      <c r="Z35" s="1"/>
      <c r="AA35" s="1"/>
      <c r="AB35" s="1"/>
      <c r="AC35" s="1"/>
      <c r="AE35" s="4" t="s">
        <v>27</v>
      </c>
      <c r="AF35" s="1"/>
      <c r="AG35" s="1"/>
      <c r="AH35" s="1"/>
      <c r="AI35" s="1"/>
      <c r="AJ35" s="1"/>
      <c r="AK35" s="1"/>
    </row>
    <row r="36" spans="1:37" x14ac:dyDescent="0.3">
      <c r="A36" s="2" t="s">
        <v>17</v>
      </c>
      <c r="B36" s="2">
        <v>1</v>
      </c>
      <c r="C36" s="2">
        <v>1</v>
      </c>
      <c r="D36" s="2">
        <v>5</v>
      </c>
      <c r="E36" s="2">
        <f>AVERAGE(M66:M68)</f>
        <v>6.6253333333333337</v>
      </c>
      <c r="G36" s="1">
        <v>7</v>
      </c>
      <c r="H36" s="1">
        <v>3.5000000000000003E-2</v>
      </c>
      <c r="I36" s="1">
        <v>149.86500000000001</v>
      </c>
      <c r="J36" s="1">
        <v>99.667000000000002</v>
      </c>
      <c r="K36" s="1">
        <v>201.292</v>
      </c>
      <c r="L36" s="1">
        <v>-40.020000000000003</v>
      </c>
      <c r="M36" s="1">
        <v>4.2060000000000004</v>
      </c>
      <c r="N36" s="1">
        <v>7</v>
      </c>
      <c r="O36" s="1">
        <v>3.5000000000000003E-2</v>
      </c>
      <c r="P36" s="1">
        <v>153.58199999999999</v>
      </c>
      <c r="Q36" s="1">
        <v>36.546999999999997</v>
      </c>
      <c r="R36" s="1">
        <v>206.464</v>
      </c>
      <c r="S36" s="1">
        <v>-40.32</v>
      </c>
      <c r="T36" s="8">
        <v>4.1120000000000001</v>
      </c>
      <c r="W36" s="1">
        <v>7</v>
      </c>
      <c r="X36" s="1">
        <v>4.2999999999999997E-2</v>
      </c>
      <c r="Y36" s="1">
        <v>165.126</v>
      </c>
      <c r="Z36" s="1">
        <v>4.8659999999999997</v>
      </c>
      <c r="AA36" s="1">
        <v>221.00299999999999</v>
      </c>
      <c r="AB36" s="1">
        <v>40.049999999999997</v>
      </c>
      <c r="AC36" s="1">
        <v>5.5469999999999997</v>
      </c>
      <c r="AE36" s="1">
        <v>7</v>
      </c>
      <c r="AF36" s="1">
        <v>4.3999999999999997E-2</v>
      </c>
      <c r="AG36" s="1">
        <v>170.52500000000001</v>
      </c>
      <c r="AH36" s="1">
        <v>28.667000000000002</v>
      </c>
      <c r="AI36" s="1">
        <v>233.93199999999999</v>
      </c>
      <c r="AJ36" s="1">
        <v>40.569000000000003</v>
      </c>
      <c r="AK36" s="1">
        <v>5.8239999999999998</v>
      </c>
    </row>
    <row r="37" spans="1:37" x14ac:dyDescent="0.3">
      <c r="A37" s="2" t="s">
        <v>17</v>
      </c>
      <c r="B37" s="2">
        <v>2</v>
      </c>
      <c r="C37" s="2">
        <v>1</v>
      </c>
      <c r="D37" s="2">
        <v>5</v>
      </c>
      <c r="E37" s="2">
        <f>AVERAGE(M72:M74)</f>
        <v>6.7056666666666667</v>
      </c>
      <c r="G37" s="1">
        <v>8</v>
      </c>
      <c r="H37" s="1">
        <v>3.3000000000000002E-2</v>
      </c>
      <c r="I37" s="1">
        <v>153.845</v>
      </c>
      <c r="J37" s="1">
        <v>99.667000000000002</v>
      </c>
      <c r="K37" s="1">
        <v>204</v>
      </c>
      <c r="L37" s="1">
        <v>-90</v>
      </c>
      <c r="M37" s="1">
        <v>3.9830000000000001</v>
      </c>
      <c r="N37" s="1">
        <v>8</v>
      </c>
      <c r="O37" s="1">
        <v>3.6999999999999998E-2</v>
      </c>
      <c r="P37" s="1">
        <v>155.34200000000001</v>
      </c>
      <c r="Q37" s="1">
        <v>37</v>
      </c>
      <c r="R37" s="1">
        <v>210</v>
      </c>
      <c r="S37" s="1">
        <v>-90</v>
      </c>
      <c r="T37" s="8">
        <v>4.4059999999999997</v>
      </c>
      <c r="W37" s="1">
        <v>8</v>
      </c>
      <c r="X37" s="1">
        <v>4.1000000000000002E-2</v>
      </c>
      <c r="Y37" s="1">
        <v>162.12100000000001</v>
      </c>
      <c r="Z37" s="1">
        <v>2</v>
      </c>
      <c r="AA37" s="1">
        <v>221</v>
      </c>
      <c r="AB37" s="1">
        <v>0</v>
      </c>
      <c r="AC37" s="1">
        <v>5.2919999999999998</v>
      </c>
      <c r="AE37" s="1">
        <v>8</v>
      </c>
      <c r="AF37" s="1">
        <v>4.1000000000000002E-2</v>
      </c>
      <c r="AG37" s="1">
        <v>170.16900000000001</v>
      </c>
      <c r="AH37" s="1">
        <v>28.667000000000002</v>
      </c>
      <c r="AI37" s="1">
        <v>233.333</v>
      </c>
      <c r="AJ37" s="1">
        <v>0</v>
      </c>
      <c r="AK37" s="1">
        <v>5.3639999999999999</v>
      </c>
    </row>
    <row r="38" spans="1:37" x14ac:dyDescent="0.3">
      <c r="A38" s="2" t="s">
        <v>17</v>
      </c>
      <c r="B38" s="2">
        <v>3</v>
      </c>
      <c r="C38" s="2">
        <v>1</v>
      </c>
      <c r="D38" s="2">
        <v>5</v>
      </c>
      <c r="E38" s="2">
        <f>AVERAGE(M76:M78)</f>
        <v>6.9276666666666671</v>
      </c>
      <c r="G38" s="1">
        <v>9</v>
      </c>
      <c r="H38" s="1">
        <v>3.6999999999999998E-2</v>
      </c>
      <c r="I38" s="1">
        <v>153.73099999999999</v>
      </c>
      <c r="J38" s="1">
        <v>99.667000000000002</v>
      </c>
      <c r="K38" s="1">
        <v>203.79300000000001</v>
      </c>
      <c r="L38" s="1">
        <v>-120.53</v>
      </c>
      <c r="M38" s="1">
        <v>4.4530000000000003</v>
      </c>
      <c r="N38" s="1">
        <v>9</v>
      </c>
      <c r="O38" s="1">
        <v>0.03</v>
      </c>
      <c r="P38" s="1">
        <v>157.715</v>
      </c>
      <c r="Q38" s="1">
        <v>38.975999999999999</v>
      </c>
      <c r="R38" s="1">
        <v>209.364</v>
      </c>
      <c r="S38" s="1">
        <v>-120.452</v>
      </c>
      <c r="T38" s="8">
        <v>3.5779999999999998</v>
      </c>
      <c r="W38" s="1">
        <v>9</v>
      </c>
      <c r="X38" s="1">
        <v>0.04</v>
      </c>
      <c r="Y38" s="1">
        <v>160.02600000000001</v>
      </c>
      <c r="Z38" s="1">
        <v>8.0579999999999998</v>
      </c>
      <c r="AA38" s="1">
        <v>208.42500000000001</v>
      </c>
      <c r="AB38" s="1">
        <v>-20.241</v>
      </c>
      <c r="AC38" s="1">
        <v>5.2469999999999999</v>
      </c>
      <c r="AE38" s="1">
        <v>9</v>
      </c>
      <c r="AF38" s="1">
        <v>3.9E-2</v>
      </c>
      <c r="AG38" s="1">
        <v>173.65799999999999</v>
      </c>
      <c r="AH38" s="1">
        <v>28.667000000000002</v>
      </c>
      <c r="AI38" s="1">
        <v>230.774</v>
      </c>
      <c r="AJ38" s="1">
        <v>-40.896999999999998</v>
      </c>
      <c r="AK38" s="1">
        <v>5.0910000000000002</v>
      </c>
    </row>
    <row r="39" spans="1:37" x14ac:dyDescent="0.3">
      <c r="A39" s="2">
        <v>1260</v>
      </c>
      <c r="B39" s="2">
        <v>1</v>
      </c>
      <c r="C39" s="2">
        <v>1</v>
      </c>
      <c r="D39" s="2">
        <v>5</v>
      </c>
      <c r="E39" s="2">
        <f>AVERAGE(U66:U68)</f>
        <v>6.0426666666666664</v>
      </c>
    </row>
    <row r="40" spans="1:37" x14ac:dyDescent="0.3">
      <c r="A40" s="2">
        <v>1260</v>
      </c>
      <c r="B40" s="2">
        <v>2</v>
      </c>
      <c r="C40" s="2">
        <v>1</v>
      </c>
      <c r="D40" s="2">
        <v>5</v>
      </c>
      <c r="E40" s="2">
        <f>AVERAGE(U72:U74)</f>
        <v>6.0263333333333335</v>
      </c>
    </row>
    <row r="41" spans="1:37" x14ac:dyDescent="0.3">
      <c r="A41" s="2">
        <v>1260</v>
      </c>
      <c r="B41" s="2">
        <v>3</v>
      </c>
      <c r="C41" s="2">
        <v>1</v>
      </c>
      <c r="D41" s="2">
        <v>5</v>
      </c>
      <c r="E41" s="2">
        <f>AVERAGE(U76:U78)</f>
        <v>6.117</v>
      </c>
    </row>
    <row r="42" spans="1:37" x14ac:dyDescent="0.3">
      <c r="A42" s="2">
        <v>1263</v>
      </c>
      <c r="B42" s="2">
        <v>1</v>
      </c>
      <c r="C42" s="2">
        <v>1</v>
      </c>
      <c r="D42" s="2">
        <v>5</v>
      </c>
      <c r="E42" s="2">
        <f>AVERAGE(M81:M83)</f>
        <v>5.9736666666666665</v>
      </c>
    </row>
    <row r="43" spans="1:37" x14ac:dyDescent="0.3">
      <c r="A43" s="2">
        <v>1263</v>
      </c>
      <c r="B43" s="2">
        <v>2</v>
      </c>
      <c r="C43" s="2">
        <v>1</v>
      </c>
      <c r="D43" s="2">
        <v>5</v>
      </c>
      <c r="E43" s="2">
        <f>AVERAGE(M85:M87)</f>
        <v>6.0569999999999995</v>
      </c>
    </row>
    <row r="44" spans="1:37" x14ac:dyDescent="0.3">
      <c r="A44" s="2">
        <v>1263</v>
      </c>
      <c r="B44" s="2">
        <v>3</v>
      </c>
      <c r="C44" s="2">
        <v>1</v>
      </c>
      <c r="D44" s="2">
        <v>5</v>
      </c>
      <c r="E44" s="2">
        <f>AVERAGE(M89:M91)</f>
        <v>6.5949999999999998</v>
      </c>
    </row>
    <row r="45" spans="1:37" x14ac:dyDescent="0.3">
      <c r="A45" s="2">
        <v>1264</v>
      </c>
      <c r="B45" s="2">
        <v>1</v>
      </c>
      <c r="C45" s="2">
        <v>1</v>
      </c>
      <c r="D45" s="2">
        <v>5</v>
      </c>
      <c r="E45" s="2">
        <f>AVERAGE(U81:U83)</f>
        <v>5.8066666666666675</v>
      </c>
    </row>
    <row r="46" spans="1:37" x14ac:dyDescent="0.3">
      <c r="A46" s="2">
        <v>1264</v>
      </c>
      <c r="B46" s="2">
        <v>2</v>
      </c>
      <c r="C46" s="2">
        <v>1</v>
      </c>
      <c r="D46" s="2">
        <v>5</v>
      </c>
      <c r="E46" s="2">
        <f>AVERAGE(U85:U87)</f>
        <v>5.8486666666666665</v>
      </c>
    </row>
    <row r="47" spans="1:37" x14ac:dyDescent="0.3">
      <c r="A47" s="9">
        <v>1264</v>
      </c>
      <c r="B47" s="9">
        <v>3</v>
      </c>
      <c r="C47" s="2">
        <v>1</v>
      </c>
      <c r="D47" s="2">
        <v>5</v>
      </c>
      <c r="E47" s="9">
        <f>AVERAGE(U89:U91)</f>
        <v>6.5986666666666665</v>
      </c>
    </row>
    <row r="48" spans="1:37" x14ac:dyDescent="0.3">
      <c r="A48" s="2">
        <v>1433</v>
      </c>
      <c r="B48" s="9">
        <v>1</v>
      </c>
      <c r="C48" s="2">
        <v>1</v>
      </c>
      <c r="D48" s="2">
        <v>5</v>
      </c>
      <c r="E48" s="9">
        <f>AVERAGE(M94:M96)</f>
        <v>6.636333333333333</v>
      </c>
    </row>
    <row r="49" spans="1:29" x14ac:dyDescent="0.3">
      <c r="A49" s="2">
        <v>1433</v>
      </c>
      <c r="B49" s="2">
        <v>2</v>
      </c>
      <c r="C49" s="2">
        <v>1</v>
      </c>
      <c r="D49" s="2">
        <v>5</v>
      </c>
      <c r="E49" s="1"/>
      <c r="G49" s="4" t="s">
        <v>21</v>
      </c>
      <c r="H49" s="1"/>
      <c r="I49" s="1"/>
      <c r="J49" s="1"/>
      <c r="K49" s="1"/>
      <c r="L49" s="1"/>
      <c r="M49" s="1"/>
      <c r="W49" s="4" t="s">
        <v>11</v>
      </c>
      <c r="X49" s="1"/>
      <c r="Y49" s="1"/>
      <c r="Z49" s="1"/>
      <c r="AA49" s="1"/>
      <c r="AB49" s="1"/>
      <c r="AC49" s="1"/>
    </row>
    <row r="50" spans="1:29" x14ac:dyDescent="0.3">
      <c r="A50" s="2">
        <v>1433</v>
      </c>
      <c r="B50" s="2">
        <v>3</v>
      </c>
      <c r="C50" s="2">
        <v>1</v>
      </c>
      <c r="D50" s="2">
        <v>5</v>
      </c>
      <c r="E50" s="1">
        <f>AVERAGE(M98:M100)</f>
        <v>6.1716666666666669</v>
      </c>
      <c r="G50" s="1">
        <v>1</v>
      </c>
      <c r="H50" s="1">
        <v>3.5000000000000003E-2</v>
      </c>
      <c r="I50" s="1">
        <v>53.939</v>
      </c>
      <c r="J50" s="1">
        <v>10.667</v>
      </c>
      <c r="K50" s="1">
        <v>77.912000000000006</v>
      </c>
      <c r="L50" s="1">
        <v>-40.283000000000001</v>
      </c>
      <c r="M50" s="1">
        <v>3.8740000000000001</v>
      </c>
      <c r="W50" s="1">
        <v>1</v>
      </c>
      <c r="X50" s="1">
        <v>3.9E-2</v>
      </c>
      <c r="Y50" s="1">
        <v>173.00800000000001</v>
      </c>
      <c r="Z50" s="1">
        <v>19.667000000000002</v>
      </c>
      <c r="AA50" s="1">
        <v>217.18700000000001</v>
      </c>
      <c r="AB50" s="1">
        <v>40.235999999999997</v>
      </c>
      <c r="AC50" s="1">
        <v>4.9039999999999999</v>
      </c>
    </row>
    <row r="51" spans="1:29" x14ac:dyDescent="0.3">
      <c r="A51" s="2">
        <v>1098</v>
      </c>
      <c r="B51" s="41">
        <v>1</v>
      </c>
      <c r="C51" s="2">
        <v>1</v>
      </c>
      <c r="D51" s="2">
        <v>5</v>
      </c>
      <c r="E51" s="1">
        <f>AVERAGE(P94:P96)</f>
        <v>5.714666666666667</v>
      </c>
      <c r="G51" s="1">
        <v>2</v>
      </c>
      <c r="H51" s="1">
        <v>3.7999999999999999E-2</v>
      </c>
      <c r="I51" s="1">
        <v>53.247999999999998</v>
      </c>
      <c r="J51" s="1">
        <v>10.667</v>
      </c>
      <c r="K51" s="1">
        <v>87.667000000000002</v>
      </c>
      <c r="L51" s="1">
        <v>-90</v>
      </c>
      <c r="M51" s="1">
        <v>4.234</v>
      </c>
      <c r="W51" s="1">
        <v>2</v>
      </c>
      <c r="X51" s="1">
        <v>4.1000000000000002E-2</v>
      </c>
      <c r="Y51" s="1">
        <v>170.80799999999999</v>
      </c>
      <c r="Z51" s="1">
        <v>19.667000000000002</v>
      </c>
      <c r="AA51" s="1">
        <v>232.667</v>
      </c>
      <c r="AB51" s="1">
        <v>0</v>
      </c>
      <c r="AC51" s="1">
        <v>5.1520000000000001</v>
      </c>
    </row>
    <row r="52" spans="1:29" x14ac:dyDescent="0.3">
      <c r="A52" s="2">
        <v>1098</v>
      </c>
      <c r="B52" s="42">
        <v>2</v>
      </c>
      <c r="C52" s="2">
        <v>1</v>
      </c>
      <c r="D52" s="2">
        <v>5</v>
      </c>
      <c r="E52" s="1">
        <f>AVERAGE(P98:P100)</f>
        <v>5.7770000000000001</v>
      </c>
      <c r="G52" s="1"/>
      <c r="H52" s="1"/>
      <c r="I52" s="1"/>
      <c r="J52" s="1"/>
      <c r="K52" s="1"/>
      <c r="L52" s="1"/>
      <c r="M52" s="1"/>
      <c r="W52" s="1"/>
      <c r="X52" s="1"/>
      <c r="Y52" s="1"/>
      <c r="Z52" s="1"/>
      <c r="AA52" s="1"/>
      <c r="AB52" s="1"/>
      <c r="AC52" s="1"/>
    </row>
    <row r="53" spans="1:29" x14ac:dyDescent="0.3">
      <c r="A53" s="2">
        <v>1098</v>
      </c>
      <c r="B53" s="42">
        <v>3</v>
      </c>
      <c r="C53" s="2">
        <v>1</v>
      </c>
      <c r="D53" s="2">
        <v>5</v>
      </c>
      <c r="E53" s="1">
        <f>AVERAGE(P102:P104)</f>
        <v>5.6433333333333335</v>
      </c>
      <c r="G53" s="1"/>
      <c r="H53" s="1"/>
      <c r="I53" s="1"/>
      <c r="J53" s="1"/>
      <c r="K53" s="1"/>
      <c r="L53" s="1"/>
      <c r="M53" s="1"/>
      <c r="W53" s="1"/>
      <c r="X53" s="1"/>
      <c r="Y53" s="1"/>
      <c r="Z53" s="1"/>
      <c r="AA53" s="1"/>
      <c r="AB53" s="1"/>
      <c r="AC53" s="1"/>
    </row>
    <row r="54" spans="1:29" x14ac:dyDescent="0.3">
      <c r="A54" s="2">
        <v>1112</v>
      </c>
      <c r="B54" s="41">
        <v>1</v>
      </c>
      <c r="C54" s="2">
        <v>1</v>
      </c>
      <c r="D54" s="2">
        <v>5</v>
      </c>
      <c r="E54" s="1">
        <f>AVERAGE(P106:P108)</f>
        <v>5.9216666666666669</v>
      </c>
      <c r="G54" s="1">
        <v>3</v>
      </c>
      <c r="H54" s="1">
        <v>3.6999999999999998E-2</v>
      </c>
      <c r="I54" s="1">
        <v>53.154000000000003</v>
      </c>
      <c r="J54" s="1">
        <v>10.667</v>
      </c>
      <c r="K54" s="1">
        <v>88.055999999999997</v>
      </c>
      <c r="L54" s="1">
        <v>-120.402</v>
      </c>
      <c r="M54" s="1">
        <v>4.0949999999999998</v>
      </c>
      <c r="W54" s="1">
        <v>3</v>
      </c>
      <c r="X54" s="1">
        <v>4.1000000000000002E-2</v>
      </c>
      <c r="Y54" s="1">
        <v>167.51300000000001</v>
      </c>
      <c r="Z54" s="1">
        <v>19.667000000000002</v>
      </c>
      <c r="AA54" s="1">
        <v>224.64400000000001</v>
      </c>
      <c r="AB54" s="1">
        <v>-21.167000000000002</v>
      </c>
      <c r="AC54" s="1">
        <v>5.0960000000000001</v>
      </c>
    </row>
    <row r="55" spans="1:29" x14ac:dyDescent="0.3">
      <c r="A55" s="2">
        <v>1112</v>
      </c>
      <c r="B55" s="42">
        <v>2</v>
      </c>
      <c r="C55" s="2">
        <v>1</v>
      </c>
      <c r="D55" s="2">
        <v>5</v>
      </c>
      <c r="E55" s="1">
        <f>AVERAGE(P110:P112)</f>
        <v>5.8029999999999999</v>
      </c>
      <c r="G55" s="4" t="s">
        <v>22</v>
      </c>
      <c r="H55" s="1"/>
      <c r="I55" s="1"/>
      <c r="J55" s="1"/>
      <c r="K55" s="1"/>
      <c r="L55" s="1"/>
      <c r="M55" s="1"/>
      <c r="W55" s="4" t="s">
        <v>12</v>
      </c>
      <c r="X55" s="1"/>
      <c r="Y55" s="1"/>
      <c r="Z55" s="1"/>
      <c r="AA55" s="1"/>
      <c r="AB55" s="1"/>
      <c r="AC55" s="1"/>
    </row>
    <row r="56" spans="1:29" x14ac:dyDescent="0.3">
      <c r="A56" s="2">
        <v>1112</v>
      </c>
      <c r="B56" s="42">
        <v>3</v>
      </c>
      <c r="C56" s="2">
        <v>1</v>
      </c>
      <c r="D56" s="2">
        <v>5</v>
      </c>
      <c r="E56" s="1">
        <f>AVERAGE(P114:P116)</f>
        <v>5.8546666666666667</v>
      </c>
      <c r="G56" s="1">
        <v>4</v>
      </c>
      <c r="H56" s="1">
        <v>3.5999999999999997E-2</v>
      </c>
      <c r="I56" s="1">
        <v>58.378999999999998</v>
      </c>
      <c r="J56" s="1">
        <v>49.307000000000002</v>
      </c>
      <c r="K56" s="1">
        <v>86.667000000000002</v>
      </c>
      <c r="L56" s="1">
        <v>-40.643000000000001</v>
      </c>
      <c r="M56" s="1">
        <v>4.0250000000000004</v>
      </c>
      <c r="W56" s="1">
        <v>4</v>
      </c>
      <c r="X56" s="1">
        <v>4.2000000000000003E-2</v>
      </c>
      <c r="Y56" s="1">
        <v>183.53899999999999</v>
      </c>
      <c r="Z56" s="1">
        <v>151.667</v>
      </c>
      <c r="AA56" s="1">
        <v>227.5</v>
      </c>
      <c r="AB56" s="1">
        <v>40.573</v>
      </c>
      <c r="AC56" s="1">
        <v>5.2770000000000001</v>
      </c>
    </row>
    <row r="57" spans="1:29" x14ac:dyDescent="0.3">
      <c r="A57" s="2">
        <v>1123</v>
      </c>
      <c r="B57" s="41">
        <v>1</v>
      </c>
      <c r="C57" s="2">
        <v>1</v>
      </c>
      <c r="D57" s="2">
        <v>5</v>
      </c>
      <c r="E57" s="1">
        <f>AVERAGE(S94:S96)</f>
        <v>6.2140000000000013</v>
      </c>
      <c r="G57" s="1">
        <v>5</v>
      </c>
      <c r="H57" s="1">
        <v>3.6999999999999998E-2</v>
      </c>
      <c r="I57" s="1">
        <v>58.34</v>
      </c>
      <c r="J57" s="1">
        <v>41</v>
      </c>
      <c r="K57" s="1">
        <v>93.332999999999998</v>
      </c>
      <c r="L57" s="1">
        <v>-90</v>
      </c>
      <c r="M57" s="1">
        <v>4.0810000000000004</v>
      </c>
      <c r="W57" s="1">
        <v>5</v>
      </c>
      <c r="X57" s="1">
        <v>4.2000000000000003E-2</v>
      </c>
      <c r="Y57" s="1">
        <v>175.209</v>
      </c>
      <c r="Z57" s="1">
        <v>136</v>
      </c>
      <c r="AA57" s="1">
        <v>223.404</v>
      </c>
      <c r="AB57" s="1">
        <v>0.25900000000000001</v>
      </c>
      <c r="AC57" s="1">
        <v>5.3040000000000003</v>
      </c>
    </row>
    <row r="58" spans="1:29" x14ac:dyDescent="0.3">
      <c r="A58" s="2">
        <v>1123</v>
      </c>
      <c r="B58" s="42">
        <v>2</v>
      </c>
      <c r="C58" s="2">
        <v>1</v>
      </c>
      <c r="D58" s="2">
        <v>5</v>
      </c>
      <c r="E58" s="1">
        <f>AVERAGE(S98:S100)</f>
        <v>6.1533333333333333</v>
      </c>
      <c r="G58" s="1">
        <v>6</v>
      </c>
      <c r="H58" s="1">
        <v>3.5999999999999997E-2</v>
      </c>
      <c r="I58" s="1">
        <v>55.515999999999998</v>
      </c>
      <c r="J58" s="1">
        <v>44.470999999999997</v>
      </c>
      <c r="K58" s="1">
        <v>88.385000000000005</v>
      </c>
      <c r="L58" s="1">
        <v>-120.36799999999999</v>
      </c>
      <c r="M58" s="1">
        <v>4.01</v>
      </c>
      <c r="W58" s="1">
        <v>6</v>
      </c>
      <c r="X58" s="1">
        <v>4.3999999999999997E-2</v>
      </c>
      <c r="Y58" s="1">
        <v>173.66499999999999</v>
      </c>
      <c r="Z58" s="1">
        <v>131.61199999999999</v>
      </c>
      <c r="AA58" s="1">
        <v>215.02099999999999</v>
      </c>
      <c r="AB58" s="1">
        <v>-20.41</v>
      </c>
      <c r="AC58" s="1">
        <v>5.5060000000000002</v>
      </c>
    </row>
    <row r="59" spans="1:29" x14ac:dyDescent="0.3">
      <c r="A59" s="2">
        <v>1123</v>
      </c>
      <c r="B59" s="42">
        <v>3</v>
      </c>
      <c r="C59" s="2">
        <v>1</v>
      </c>
      <c r="D59" s="2">
        <v>5</v>
      </c>
      <c r="E59" s="1">
        <f>AVERAGE(S102:S104)</f>
        <v>6.0143333333333331</v>
      </c>
      <c r="G59" s="4" t="s">
        <v>23</v>
      </c>
      <c r="H59" s="1"/>
      <c r="I59" s="1"/>
      <c r="J59" s="1"/>
      <c r="K59" s="1"/>
      <c r="L59" s="1"/>
      <c r="M59" s="1"/>
      <c r="W59" s="4" t="s">
        <v>13</v>
      </c>
      <c r="X59" s="1"/>
      <c r="Y59" s="1"/>
      <c r="Z59" s="1"/>
      <c r="AA59" s="1"/>
      <c r="AB59" s="1"/>
      <c r="AC59" s="1"/>
    </row>
    <row r="60" spans="1:29" x14ac:dyDescent="0.3">
      <c r="A60" s="10"/>
      <c r="B60" s="10"/>
      <c r="C60" s="10"/>
      <c r="D60" s="14"/>
      <c r="E60" s="14"/>
      <c r="G60" s="1">
        <v>7</v>
      </c>
      <c r="H60" s="1">
        <v>3.6999999999999998E-2</v>
      </c>
      <c r="I60" s="1">
        <v>59.651000000000003</v>
      </c>
      <c r="J60" s="1">
        <v>1</v>
      </c>
      <c r="K60" s="1">
        <v>108.742</v>
      </c>
      <c r="L60" s="1">
        <v>-40.737000000000002</v>
      </c>
      <c r="M60" s="1">
        <v>4.1139999999999999</v>
      </c>
      <c r="W60" s="1">
        <v>7</v>
      </c>
      <c r="X60" s="1">
        <v>4.4999999999999998E-2</v>
      </c>
      <c r="Y60" s="1">
        <v>175.244</v>
      </c>
      <c r="Z60" s="1">
        <v>39.332999999999998</v>
      </c>
      <c r="AA60" s="1">
        <v>229.62700000000001</v>
      </c>
      <c r="AB60" s="1">
        <v>41.743000000000002</v>
      </c>
      <c r="AC60" s="1">
        <v>5.5750000000000002</v>
      </c>
    </row>
    <row r="61" spans="1:29" x14ac:dyDescent="0.3">
      <c r="A61" s="2" t="s">
        <v>0</v>
      </c>
      <c r="B61" s="2" t="s">
        <v>1</v>
      </c>
      <c r="C61" s="13" t="s">
        <v>2</v>
      </c>
      <c r="D61" s="2" t="s">
        <v>3</v>
      </c>
      <c r="E61" s="2" t="s">
        <v>4</v>
      </c>
      <c r="G61" s="1">
        <v>8</v>
      </c>
      <c r="H61" s="1">
        <v>3.6999999999999998E-2</v>
      </c>
      <c r="I61" s="1">
        <v>57.843000000000004</v>
      </c>
      <c r="J61" s="1">
        <v>1</v>
      </c>
      <c r="K61" s="1">
        <v>106.333</v>
      </c>
      <c r="L61" s="1">
        <v>-90</v>
      </c>
      <c r="M61" s="1">
        <v>4.09</v>
      </c>
      <c r="W61" s="1">
        <v>8</v>
      </c>
      <c r="X61" s="1">
        <v>4.3999999999999997E-2</v>
      </c>
      <c r="Y61" s="1">
        <v>174.88399999999999</v>
      </c>
      <c r="Z61" s="1">
        <v>39.332999999999998</v>
      </c>
      <c r="AA61" s="1">
        <v>228.333</v>
      </c>
      <c r="AB61" s="1">
        <v>0</v>
      </c>
      <c r="AC61" s="1">
        <v>5.4720000000000004</v>
      </c>
    </row>
    <row r="62" spans="1:29" x14ac:dyDescent="0.3">
      <c r="A62" s="2" t="s">
        <v>17</v>
      </c>
      <c r="B62" s="2">
        <v>1</v>
      </c>
      <c r="C62" s="13">
        <v>1</v>
      </c>
      <c r="D62" s="2">
        <v>7</v>
      </c>
      <c r="E62" s="2">
        <f>AVERAGE(AC66:AC68)</f>
        <v>7.2349999999999994</v>
      </c>
      <c r="G62" s="1">
        <v>9</v>
      </c>
      <c r="H62" s="1">
        <v>3.5999999999999997E-2</v>
      </c>
      <c r="I62" s="1">
        <v>56.811999999999998</v>
      </c>
      <c r="J62" s="1">
        <v>1</v>
      </c>
      <c r="K62" s="1">
        <v>97.688999999999993</v>
      </c>
      <c r="L62" s="1">
        <v>-120.033</v>
      </c>
      <c r="M62" s="1">
        <v>3.996</v>
      </c>
      <c r="W62" s="1">
        <v>9</v>
      </c>
      <c r="X62" s="1">
        <v>4.3999999999999997E-2</v>
      </c>
      <c r="Y62" s="1">
        <v>172.22</v>
      </c>
      <c r="Z62" s="1">
        <v>39.332999999999998</v>
      </c>
      <c r="AA62" s="1">
        <v>227.80199999999999</v>
      </c>
      <c r="AB62" s="1">
        <v>-20.943000000000001</v>
      </c>
      <c r="AC62" s="1">
        <v>5.5510000000000002</v>
      </c>
    </row>
    <row r="63" spans="1:29" x14ac:dyDescent="0.3">
      <c r="A63" s="2" t="s">
        <v>17</v>
      </c>
      <c r="B63" s="2">
        <v>2</v>
      </c>
      <c r="C63" s="13">
        <v>1</v>
      </c>
      <c r="D63" s="2">
        <v>7</v>
      </c>
      <c r="E63" s="2">
        <f>AVERAGE(AC71:AC74)</f>
        <v>7.1123333333333347</v>
      </c>
    </row>
    <row r="64" spans="1:29" x14ac:dyDescent="0.3">
      <c r="A64" s="2" t="s">
        <v>17</v>
      </c>
      <c r="B64" s="2">
        <v>3</v>
      </c>
      <c r="C64" s="13">
        <v>1</v>
      </c>
      <c r="D64" s="2">
        <v>7</v>
      </c>
      <c r="E64" s="2">
        <f>AVERAGE(AC76:AC78)</f>
        <v>7.6009999999999991</v>
      </c>
      <c r="F64" s="6" t="s">
        <v>28</v>
      </c>
      <c r="V64" s="6" t="s">
        <v>36</v>
      </c>
    </row>
    <row r="65" spans="1:37" x14ac:dyDescent="0.3">
      <c r="A65" s="2">
        <v>1260</v>
      </c>
      <c r="B65" s="2">
        <v>1</v>
      </c>
      <c r="C65" s="13">
        <v>1</v>
      </c>
      <c r="D65" s="2">
        <v>7</v>
      </c>
      <c r="E65" s="2">
        <f>AVERAGE(AC94:AC96)</f>
        <v>6.4206666666666665</v>
      </c>
      <c r="G65" s="4" t="s">
        <v>11</v>
      </c>
      <c r="H65" s="1"/>
      <c r="I65" s="1"/>
      <c r="J65" s="1"/>
      <c r="K65" s="1"/>
      <c r="L65" s="1"/>
      <c r="M65" s="1"/>
      <c r="O65" s="4" t="s">
        <v>26</v>
      </c>
      <c r="P65" s="1"/>
      <c r="Q65" s="1"/>
      <c r="R65" s="1"/>
      <c r="S65" s="1"/>
      <c r="T65" s="1"/>
      <c r="U65" s="1"/>
      <c r="W65" s="4" t="s">
        <v>11</v>
      </c>
      <c r="X65" s="1"/>
      <c r="Y65" s="1"/>
      <c r="Z65" s="1"/>
      <c r="AA65" s="1"/>
      <c r="AB65" s="1"/>
      <c r="AC65" s="1"/>
      <c r="AE65" s="4" t="s">
        <v>18</v>
      </c>
      <c r="AF65" s="1"/>
      <c r="AG65" s="1"/>
      <c r="AH65" s="1"/>
      <c r="AI65" s="1"/>
      <c r="AJ65" s="1"/>
      <c r="AK65" s="1"/>
    </row>
    <row r="66" spans="1:37" x14ac:dyDescent="0.3">
      <c r="A66" s="2">
        <v>1260</v>
      </c>
      <c r="B66" s="2">
        <v>2</v>
      </c>
      <c r="C66" s="13">
        <v>1</v>
      </c>
      <c r="D66" s="2">
        <v>7</v>
      </c>
      <c r="E66" s="2">
        <f>AVERAGE(AC98:AC100)</f>
        <v>6.2969999999999997</v>
      </c>
      <c r="G66" s="1">
        <v>1</v>
      </c>
      <c r="H66" s="1">
        <v>5.5E-2</v>
      </c>
      <c r="I66" s="1">
        <v>158.52000000000001</v>
      </c>
      <c r="J66" s="1">
        <v>98.332999999999998</v>
      </c>
      <c r="K66" s="1">
        <v>183.86699999999999</v>
      </c>
      <c r="L66" s="1">
        <v>-40.731999999999999</v>
      </c>
      <c r="M66" s="1">
        <v>6.4420000000000002</v>
      </c>
      <c r="O66" s="1">
        <v>1</v>
      </c>
      <c r="P66" s="1">
        <v>4.9000000000000002E-2</v>
      </c>
      <c r="Q66" s="1">
        <v>160.642</v>
      </c>
      <c r="R66" s="1">
        <v>33.131</v>
      </c>
      <c r="S66" s="1">
        <v>184.173</v>
      </c>
      <c r="T66" s="1">
        <v>-43.707999999999998</v>
      </c>
      <c r="U66" s="1">
        <v>6.069</v>
      </c>
      <c r="W66" s="1">
        <v>1</v>
      </c>
      <c r="X66" s="1">
        <v>5.8000000000000003E-2</v>
      </c>
      <c r="Y66" s="1">
        <v>180.804</v>
      </c>
      <c r="Z66" s="1">
        <v>104.667</v>
      </c>
      <c r="AA66" s="1">
        <v>195.7</v>
      </c>
      <c r="AB66" s="1">
        <v>-50.463999999999999</v>
      </c>
      <c r="AC66" s="1">
        <v>6.5060000000000002</v>
      </c>
      <c r="AE66" s="1">
        <v>1</v>
      </c>
      <c r="AF66" s="1">
        <v>5.3999999999999999E-2</v>
      </c>
      <c r="AG66" s="1">
        <v>162.18199999999999</v>
      </c>
      <c r="AH66" s="1">
        <v>137.459</v>
      </c>
      <c r="AI66" s="1">
        <v>183.959</v>
      </c>
      <c r="AJ66" s="1">
        <v>-44.37</v>
      </c>
      <c r="AK66" s="1">
        <v>6.4349999999999996</v>
      </c>
    </row>
    <row r="67" spans="1:37" x14ac:dyDescent="0.3">
      <c r="A67" s="2">
        <v>1260</v>
      </c>
      <c r="B67" s="2">
        <v>3</v>
      </c>
      <c r="C67" s="13">
        <v>1</v>
      </c>
      <c r="D67" s="2">
        <v>7</v>
      </c>
      <c r="E67" s="2">
        <f>AVERAGE(AC102:AC104)</f>
        <v>6.4893333333333336</v>
      </c>
      <c r="G67" s="1">
        <v>2</v>
      </c>
      <c r="H67" s="1">
        <v>0.06</v>
      </c>
      <c r="I67" s="1">
        <v>154.065</v>
      </c>
      <c r="J67" s="1">
        <v>78.332999999999998</v>
      </c>
      <c r="K67" s="1">
        <v>184.333</v>
      </c>
      <c r="L67" s="1">
        <v>-90</v>
      </c>
      <c r="M67" s="1">
        <v>7.0510000000000002</v>
      </c>
      <c r="O67" s="1">
        <v>2</v>
      </c>
      <c r="P67" s="1">
        <v>4.8000000000000001E-2</v>
      </c>
      <c r="Q67" s="1">
        <v>161.363</v>
      </c>
      <c r="R67" s="1">
        <v>102.667</v>
      </c>
      <c r="S67" s="1">
        <v>189.667</v>
      </c>
      <c r="T67" s="1">
        <v>-90</v>
      </c>
      <c r="U67" s="1">
        <v>5.968</v>
      </c>
      <c r="W67" s="1">
        <v>2</v>
      </c>
      <c r="X67" s="1">
        <v>7.0999999999999994E-2</v>
      </c>
      <c r="Y67" s="1">
        <v>172.42400000000001</v>
      </c>
      <c r="Z67" s="1">
        <v>104.667</v>
      </c>
      <c r="AA67" s="1">
        <v>206.333</v>
      </c>
      <c r="AB67" s="1">
        <v>-90</v>
      </c>
      <c r="AC67" s="1">
        <v>7.9909999999999997</v>
      </c>
      <c r="AE67" s="1">
        <v>2</v>
      </c>
      <c r="AF67" s="1">
        <v>5.0999999999999997E-2</v>
      </c>
      <c r="AG67" s="1">
        <v>160.375</v>
      </c>
      <c r="AH67" s="1">
        <v>118</v>
      </c>
      <c r="AI67" s="1">
        <v>184</v>
      </c>
      <c r="AJ67" s="1">
        <v>-90</v>
      </c>
      <c r="AK67" s="1">
        <v>6.0670000000000002</v>
      </c>
    </row>
    <row r="68" spans="1:37" x14ac:dyDescent="0.3">
      <c r="A68" s="2">
        <v>1263</v>
      </c>
      <c r="B68" s="2">
        <v>1</v>
      </c>
      <c r="C68" s="13">
        <v>1</v>
      </c>
      <c r="D68" s="2">
        <v>7</v>
      </c>
      <c r="E68" s="2">
        <f>AVERAGE(AK66:AK68)</f>
        <v>6.2979999999999992</v>
      </c>
      <c r="G68" s="1">
        <v>3</v>
      </c>
      <c r="H68" s="1">
        <v>5.3999999999999999E-2</v>
      </c>
      <c r="I68" s="1">
        <v>157.172</v>
      </c>
      <c r="J68" s="1">
        <v>43.201999999999998</v>
      </c>
      <c r="K68" s="1">
        <v>181.779</v>
      </c>
      <c r="L68" s="1">
        <v>-120.651</v>
      </c>
      <c r="M68" s="1">
        <v>6.383</v>
      </c>
      <c r="O68" s="1">
        <v>3</v>
      </c>
      <c r="P68" s="1">
        <v>4.9000000000000002E-2</v>
      </c>
      <c r="Q68" s="1">
        <v>166.21</v>
      </c>
      <c r="R68" s="1">
        <v>135.13499999999999</v>
      </c>
      <c r="S68" s="1">
        <v>184.43700000000001</v>
      </c>
      <c r="T68" s="1">
        <v>-120.91200000000001</v>
      </c>
      <c r="U68" s="1">
        <v>6.0910000000000002</v>
      </c>
      <c r="W68" s="1">
        <v>3</v>
      </c>
      <c r="X68" s="1">
        <v>6.4000000000000001E-2</v>
      </c>
      <c r="Y68" s="1">
        <v>178.53800000000001</v>
      </c>
      <c r="Z68" s="1">
        <v>104.667</v>
      </c>
      <c r="AA68" s="1">
        <v>195.21799999999999</v>
      </c>
      <c r="AB68" s="1">
        <v>-120.059</v>
      </c>
      <c r="AC68" s="1">
        <v>7.2080000000000002</v>
      </c>
      <c r="AE68" s="1">
        <v>3</v>
      </c>
      <c r="AF68" s="1">
        <v>5.2999999999999999E-2</v>
      </c>
      <c r="AG68" s="1">
        <v>163.60599999999999</v>
      </c>
      <c r="AH68" s="1">
        <v>138.524</v>
      </c>
      <c r="AI68" s="1">
        <v>186.35</v>
      </c>
      <c r="AJ68" s="1">
        <v>-120.041</v>
      </c>
      <c r="AK68" s="1">
        <v>6.3920000000000003</v>
      </c>
    </row>
    <row r="69" spans="1:37" x14ac:dyDescent="0.3">
      <c r="A69" s="2">
        <v>1263</v>
      </c>
      <c r="B69" s="2">
        <v>2</v>
      </c>
      <c r="C69" s="13">
        <v>1</v>
      </c>
      <c r="D69" s="2">
        <v>7</v>
      </c>
      <c r="E69" s="2">
        <f>AVERAGE(AK72:AK74)</f>
        <v>6.6626666666666665</v>
      </c>
      <c r="G69" s="1"/>
      <c r="H69" s="1"/>
      <c r="I69" s="1"/>
      <c r="J69" s="1"/>
      <c r="K69" s="1"/>
      <c r="L69" s="1"/>
      <c r="M69" s="1"/>
      <c r="O69" s="1"/>
      <c r="P69" s="1"/>
      <c r="Q69" s="1"/>
      <c r="R69" s="1"/>
      <c r="S69" s="1"/>
      <c r="T69" s="1"/>
      <c r="U69" s="1"/>
      <c r="W69" s="1"/>
      <c r="X69" s="1"/>
      <c r="Y69" s="1"/>
      <c r="Z69" s="1"/>
      <c r="AA69" s="1"/>
      <c r="AB69" s="1"/>
      <c r="AC69" s="1"/>
      <c r="AE69" s="1"/>
      <c r="AF69" s="1"/>
      <c r="AG69" s="1"/>
      <c r="AH69" s="1"/>
      <c r="AI69" s="1"/>
      <c r="AJ69" s="1"/>
      <c r="AK69" s="1"/>
    </row>
    <row r="70" spans="1:37" x14ac:dyDescent="0.3">
      <c r="A70" s="2">
        <v>1263</v>
      </c>
      <c r="B70" s="2">
        <v>3</v>
      </c>
      <c r="C70" s="13">
        <v>1</v>
      </c>
      <c r="D70" s="2">
        <v>7</v>
      </c>
      <c r="E70" s="2">
        <f>AVERAGE(AK76:AK78)</f>
        <v>6.9876666666666667</v>
      </c>
      <c r="G70" s="1"/>
      <c r="H70" s="1"/>
      <c r="I70" s="1"/>
      <c r="J70" s="1"/>
      <c r="K70" s="1"/>
      <c r="L70" s="1"/>
      <c r="M70" s="1"/>
      <c r="O70" s="1"/>
      <c r="P70" s="1"/>
      <c r="Q70" s="1"/>
      <c r="R70" s="1"/>
      <c r="S70" s="1"/>
      <c r="T70" s="1"/>
      <c r="U70" s="1"/>
      <c r="W70" s="1"/>
      <c r="X70" s="1"/>
      <c r="Y70" s="1"/>
      <c r="Z70" s="1"/>
      <c r="AA70" s="1"/>
      <c r="AB70" s="1"/>
      <c r="AC70" s="1"/>
      <c r="AE70" s="1"/>
      <c r="AF70" s="1"/>
      <c r="AG70" s="1"/>
      <c r="AH70" s="1"/>
      <c r="AI70" s="1"/>
      <c r="AJ70" s="1"/>
      <c r="AK70" s="1"/>
    </row>
    <row r="71" spans="1:37" x14ac:dyDescent="0.3">
      <c r="A71" s="2">
        <v>1264</v>
      </c>
      <c r="B71" s="2">
        <v>1</v>
      </c>
      <c r="C71" s="13">
        <v>1</v>
      </c>
      <c r="D71" s="2">
        <v>7</v>
      </c>
      <c r="E71" s="2">
        <f>AVERAGE(AC81:AC83)</f>
        <v>6.6956666666666678</v>
      </c>
      <c r="G71" s="4" t="s">
        <v>12</v>
      </c>
      <c r="H71" s="1"/>
      <c r="I71" s="1"/>
      <c r="J71" s="1"/>
      <c r="K71" s="1"/>
      <c r="L71" s="1"/>
      <c r="M71" s="1"/>
      <c r="O71" s="4" t="s">
        <v>8</v>
      </c>
      <c r="P71" s="1"/>
      <c r="Q71" s="1"/>
      <c r="R71" s="1"/>
      <c r="S71" s="1"/>
      <c r="T71" s="1"/>
      <c r="U71" s="1"/>
      <c r="W71" s="4" t="s">
        <v>12</v>
      </c>
      <c r="X71" s="1"/>
      <c r="Y71" s="1"/>
      <c r="Z71" s="1"/>
      <c r="AA71" s="1"/>
      <c r="AB71" s="1"/>
      <c r="AC71" s="1"/>
      <c r="AE71" s="4" t="s">
        <v>19</v>
      </c>
      <c r="AF71" s="1"/>
      <c r="AG71" s="1"/>
      <c r="AH71" s="1"/>
      <c r="AI71" s="1"/>
      <c r="AJ71" s="1"/>
      <c r="AK71" s="1"/>
    </row>
    <row r="72" spans="1:37" x14ac:dyDescent="0.3">
      <c r="A72" s="2">
        <v>1264</v>
      </c>
      <c r="B72" s="2">
        <v>2</v>
      </c>
      <c r="C72" s="13">
        <v>1</v>
      </c>
      <c r="D72" s="2">
        <v>7</v>
      </c>
      <c r="E72" s="2">
        <f>AVERAGE(AC85:AC87)</f>
        <v>6.4383333333333335</v>
      </c>
      <c r="G72" s="1">
        <v>4</v>
      </c>
      <c r="H72" s="1">
        <v>5.5E-2</v>
      </c>
      <c r="I72" s="1">
        <v>166.30500000000001</v>
      </c>
      <c r="J72" s="1">
        <v>43</v>
      </c>
      <c r="K72" s="1">
        <v>204.18100000000001</v>
      </c>
      <c r="L72" s="1">
        <v>-40.307000000000002</v>
      </c>
      <c r="M72" s="1">
        <v>6.4450000000000003</v>
      </c>
      <c r="O72" s="1">
        <v>4</v>
      </c>
      <c r="P72" s="1">
        <v>5.0999999999999997E-2</v>
      </c>
      <c r="Q72" s="1">
        <v>168.35900000000001</v>
      </c>
      <c r="R72" s="1">
        <v>153.67699999999999</v>
      </c>
      <c r="S72" s="1">
        <v>203.792</v>
      </c>
      <c r="T72" s="1">
        <v>-48.951999999999998</v>
      </c>
      <c r="U72" s="1">
        <v>6.2880000000000003</v>
      </c>
      <c r="W72" s="1">
        <v>4</v>
      </c>
      <c r="X72" s="1">
        <v>5.8999999999999997E-2</v>
      </c>
      <c r="Y72" s="1">
        <v>184.66</v>
      </c>
      <c r="Z72" s="1">
        <v>164.017</v>
      </c>
      <c r="AA72" s="1">
        <v>215.876</v>
      </c>
      <c r="AB72" s="1">
        <v>-42.427</v>
      </c>
      <c r="AC72" s="1">
        <v>6.69</v>
      </c>
      <c r="AE72" s="1">
        <v>4</v>
      </c>
      <c r="AF72" s="1">
        <v>5.5E-2</v>
      </c>
      <c r="AG72" s="1">
        <v>178.06299999999999</v>
      </c>
      <c r="AH72" s="1">
        <v>85.667000000000002</v>
      </c>
      <c r="AI72" s="1">
        <v>211.50299999999999</v>
      </c>
      <c r="AJ72" s="1">
        <v>-50.156999999999996</v>
      </c>
      <c r="AK72" s="1">
        <v>6.5549999999999997</v>
      </c>
    </row>
    <row r="73" spans="1:37" x14ac:dyDescent="0.3">
      <c r="A73" s="9">
        <v>1264</v>
      </c>
      <c r="B73" s="9">
        <v>3</v>
      </c>
      <c r="C73" s="13">
        <v>1</v>
      </c>
      <c r="D73" s="2">
        <v>7</v>
      </c>
      <c r="E73" s="2">
        <f>AVERAGE(AC89:AC91)</f>
        <v>6.5553333333333326</v>
      </c>
      <c r="G73" s="1">
        <v>5</v>
      </c>
      <c r="H73" s="1">
        <v>5.8000000000000003E-2</v>
      </c>
      <c r="I73" s="1">
        <v>164.90700000000001</v>
      </c>
      <c r="J73" s="1">
        <v>43</v>
      </c>
      <c r="K73" s="1">
        <v>205</v>
      </c>
      <c r="L73" s="1">
        <v>-90</v>
      </c>
      <c r="M73" s="1">
        <v>6.8810000000000002</v>
      </c>
      <c r="O73" s="1">
        <v>5</v>
      </c>
      <c r="P73" s="1">
        <v>4.9000000000000002E-2</v>
      </c>
      <c r="Q73" s="1">
        <v>166.07300000000001</v>
      </c>
      <c r="R73" s="1">
        <v>121</v>
      </c>
      <c r="S73" s="1">
        <v>201</v>
      </c>
      <c r="T73" s="1">
        <v>-90</v>
      </c>
      <c r="U73" s="1">
        <v>6.0650000000000004</v>
      </c>
      <c r="W73" s="1">
        <v>5</v>
      </c>
      <c r="X73" s="1">
        <v>6.7000000000000004E-2</v>
      </c>
      <c r="Y73" s="1">
        <v>179.51900000000001</v>
      </c>
      <c r="Z73" s="1">
        <v>141</v>
      </c>
      <c r="AA73" s="1">
        <v>216.667</v>
      </c>
      <c r="AB73" s="1">
        <v>-90</v>
      </c>
      <c r="AC73" s="1">
        <v>7.593</v>
      </c>
      <c r="AE73" s="1">
        <v>5</v>
      </c>
      <c r="AF73" s="1">
        <v>5.2999999999999999E-2</v>
      </c>
      <c r="AG73" s="1">
        <v>175.19399999999999</v>
      </c>
      <c r="AH73" s="1">
        <v>85.667000000000002</v>
      </c>
      <c r="AI73" s="1">
        <v>213.667</v>
      </c>
      <c r="AJ73" s="1">
        <v>-90</v>
      </c>
      <c r="AK73" s="1">
        <v>6.3330000000000002</v>
      </c>
    </row>
    <row r="74" spans="1:37" x14ac:dyDescent="0.3">
      <c r="A74" s="2">
        <v>1433</v>
      </c>
      <c r="B74" s="9">
        <v>1</v>
      </c>
      <c r="C74" s="13">
        <v>1</v>
      </c>
      <c r="D74" s="2">
        <v>7</v>
      </c>
      <c r="E74" s="2">
        <f>AVERAGE(AK81:AK83)</f>
        <v>7.0766666666666671</v>
      </c>
      <c r="G74" s="1">
        <v>6</v>
      </c>
      <c r="H74" s="1">
        <v>5.8000000000000003E-2</v>
      </c>
      <c r="I74" s="1">
        <v>169.63800000000001</v>
      </c>
      <c r="J74" s="1">
        <v>43</v>
      </c>
      <c r="K74" s="1">
        <v>207.84899999999999</v>
      </c>
      <c r="L74" s="1">
        <v>-120.277</v>
      </c>
      <c r="M74" s="1">
        <v>6.7910000000000004</v>
      </c>
      <c r="O74" s="1">
        <v>6</v>
      </c>
      <c r="P74" s="1">
        <v>4.5999999999999999E-2</v>
      </c>
      <c r="Q74" s="1">
        <v>167.535</v>
      </c>
      <c r="R74" s="1">
        <v>140.77799999999999</v>
      </c>
      <c r="S74" s="1">
        <v>200.40199999999999</v>
      </c>
      <c r="T74" s="1">
        <v>-120.46599999999999</v>
      </c>
      <c r="U74" s="1">
        <v>5.726</v>
      </c>
      <c r="W74" s="1">
        <v>6</v>
      </c>
      <c r="X74" s="1">
        <v>6.2E-2</v>
      </c>
      <c r="Y74" s="1">
        <v>187.00299999999999</v>
      </c>
      <c r="Z74" s="1">
        <v>77.066999999999993</v>
      </c>
      <c r="AA74" s="1">
        <v>216.86600000000001</v>
      </c>
      <c r="AB74" s="1">
        <v>-120.039</v>
      </c>
      <c r="AC74" s="1">
        <v>7.0540000000000003</v>
      </c>
      <c r="AE74" s="1">
        <v>6</v>
      </c>
      <c r="AF74" s="1">
        <v>5.8999999999999997E-2</v>
      </c>
      <c r="AG74" s="1">
        <v>174.88900000000001</v>
      </c>
      <c r="AH74" s="1">
        <v>85.667000000000002</v>
      </c>
      <c r="AI74" s="1">
        <v>212.15600000000001</v>
      </c>
      <c r="AJ74" s="1">
        <v>-120.779</v>
      </c>
      <c r="AK74" s="1">
        <v>7.1</v>
      </c>
    </row>
    <row r="75" spans="1:37" x14ac:dyDescent="0.3">
      <c r="A75" s="2">
        <v>1433</v>
      </c>
      <c r="B75" s="2">
        <v>2</v>
      </c>
      <c r="C75" s="13">
        <v>1</v>
      </c>
      <c r="D75" s="2">
        <v>7</v>
      </c>
      <c r="E75" s="1"/>
      <c r="G75" s="4" t="s">
        <v>13</v>
      </c>
      <c r="H75" s="1"/>
      <c r="I75" s="1"/>
      <c r="J75" s="1"/>
      <c r="K75" s="1"/>
      <c r="L75" s="1"/>
      <c r="M75" s="1"/>
      <c r="O75" s="4" t="s">
        <v>9</v>
      </c>
      <c r="P75" s="1"/>
      <c r="Q75" s="1"/>
      <c r="R75" s="1"/>
      <c r="S75" s="1"/>
      <c r="T75" s="1"/>
      <c r="U75" s="1"/>
      <c r="W75" s="4" t="s">
        <v>13</v>
      </c>
      <c r="X75" s="1"/>
      <c r="Y75" s="1"/>
      <c r="Z75" s="1"/>
      <c r="AA75" s="1"/>
      <c r="AB75" s="1"/>
      <c r="AC75" s="1"/>
      <c r="AE75" s="4" t="s">
        <v>19</v>
      </c>
      <c r="AF75" s="1"/>
      <c r="AG75" s="1"/>
      <c r="AH75" s="1"/>
      <c r="AI75" s="1"/>
      <c r="AJ75" s="1"/>
      <c r="AK75" s="1"/>
    </row>
    <row r="76" spans="1:37" x14ac:dyDescent="0.3">
      <c r="A76" s="2">
        <v>1433</v>
      </c>
      <c r="B76" s="2">
        <v>3</v>
      </c>
      <c r="C76" s="13">
        <v>1</v>
      </c>
      <c r="D76" s="2">
        <v>7</v>
      </c>
      <c r="E76" s="1">
        <f>AVERAGE(AK85:AK87)</f>
        <v>7.4793333333333329</v>
      </c>
      <c r="G76" s="1">
        <v>7</v>
      </c>
      <c r="H76" s="1">
        <v>5.1999999999999998E-2</v>
      </c>
      <c r="I76" s="1">
        <v>162.47399999999999</v>
      </c>
      <c r="J76" s="1">
        <v>41.890999999999998</v>
      </c>
      <c r="K76" s="1">
        <v>207.41300000000001</v>
      </c>
      <c r="L76" s="1">
        <v>-40.945999999999998</v>
      </c>
      <c r="M76" s="1">
        <v>6.1040000000000001</v>
      </c>
      <c r="O76" s="1">
        <v>7</v>
      </c>
      <c r="P76" s="1">
        <v>4.9000000000000002E-2</v>
      </c>
      <c r="Q76" s="1">
        <v>168.00299999999999</v>
      </c>
      <c r="R76" s="1">
        <v>53</v>
      </c>
      <c r="S76" s="1">
        <v>203</v>
      </c>
      <c r="T76" s="1">
        <v>-48.012999999999998</v>
      </c>
      <c r="U76" s="1">
        <v>6.0759999999999996</v>
      </c>
      <c r="W76" s="1">
        <v>7</v>
      </c>
      <c r="X76" s="1">
        <v>0.06</v>
      </c>
      <c r="Y76" s="1">
        <v>182.79599999999999</v>
      </c>
      <c r="Z76" s="1">
        <v>17</v>
      </c>
      <c r="AA76" s="1">
        <v>211.62200000000001</v>
      </c>
      <c r="AB76" s="1">
        <v>-44.786999999999999</v>
      </c>
      <c r="AC76" s="1">
        <v>6.7329999999999997</v>
      </c>
      <c r="AE76" s="1">
        <v>7</v>
      </c>
      <c r="AF76" s="1">
        <v>5.8000000000000003E-2</v>
      </c>
      <c r="AG76" s="1">
        <v>172.387</v>
      </c>
      <c r="AH76" s="1">
        <v>142.416</v>
      </c>
      <c r="AI76" s="1">
        <v>207.333</v>
      </c>
      <c r="AJ76" s="1">
        <v>-50.826000000000001</v>
      </c>
      <c r="AK76" s="1">
        <v>6.9660000000000002</v>
      </c>
    </row>
    <row r="77" spans="1:37" x14ac:dyDescent="0.3">
      <c r="A77" s="2">
        <v>1098</v>
      </c>
      <c r="B77" s="41">
        <v>1</v>
      </c>
      <c r="C77" s="13">
        <v>1</v>
      </c>
      <c r="D77" s="2">
        <v>7</v>
      </c>
      <c r="E77" s="1">
        <f>AVERAGE(AG90:AG92)</f>
        <v>5.8810000000000002</v>
      </c>
      <c r="G77" s="1">
        <v>8</v>
      </c>
      <c r="H77" s="1">
        <v>0.06</v>
      </c>
      <c r="I77" s="1">
        <v>160.65700000000001</v>
      </c>
      <c r="J77" s="1">
        <v>86</v>
      </c>
      <c r="K77" s="1">
        <v>205</v>
      </c>
      <c r="L77" s="1">
        <v>-90</v>
      </c>
      <c r="M77" s="1">
        <v>7.0510000000000002</v>
      </c>
      <c r="O77" s="1">
        <v>8</v>
      </c>
      <c r="P77" s="1">
        <v>4.8000000000000001E-2</v>
      </c>
      <c r="Q77" s="1">
        <v>164.721</v>
      </c>
      <c r="R77" s="1">
        <v>53</v>
      </c>
      <c r="S77" s="1">
        <v>203.667</v>
      </c>
      <c r="T77" s="1">
        <v>-90</v>
      </c>
      <c r="U77" s="1">
        <v>5.968</v>
      </c>
      <c r="W77" s="1">
        <v>8</v>
      </c>
      <c r="X77" s="1">
        <v>7.5999999999999998E-2</v>
      </c>
      <c r="Y77" s="1">
        <v>173.745</v>
      </c>
      <c r="Z77" s="1">
        <v>15</v>
      </c>
      <c r="AA77" s="1">
        <v>211.667</v>
      </c>
      <c r="AB77" s="1">
        <v>-90</v>
      </c>
      <c r="AC77" s="1">
        <v>8.5660000000000007</v>
      </c>
      <c r="AE77" s="1">
        <v>8</v>
      </c>
      <c r="AF77" s="1">
        <v>5.5E-2</v>
      </c>
      <c r="AG77" s="1">
        <v>170.93199999999999</v>
      </c>
      <c r="AH77" s="1">
        <v>111.667</v>
      </c>
      <c r="AI77" s="1">
        <v>207.333</v>
      </c>
      <c r="AJ77" s="1">
        <v>-90</v>
      </c>
      <c r="AK77" s="1">
        <v>6.633</v>
      </c>
    </row>
    <row r="78" spans="1:37" x14ac:dyDescent="0.3">
      <c r="A78" s="2">
        <v>1098</v>
      </c>
      <c r="B78" s="42">
        <v>2</v>
      </c>
      <c r="C78" s="13">
        <v>1</v>
      </c>
      <c r="D78" s="2">
        <v>7</v>
      </c>
      <c r="E78" s="1">
        <f>AVERAGE(AG94:AG96)</f>
        <v>5.6360000000000001</v>
      </c>
      <c r="G78" s="1">
        <v>9</v>
      </c>
      <c r="H78" s="1">
        <v>6.5000000000000002E-2</v>
      </c>
      <c r="I78" s="1">
        <v>163.566</v>
      </c>
      <c r="J78" s="1">
        <v>88.667000000000002</v>
      </c>
      <c r="K78" s="1">
        <v>204.232</v>
      </c>
      <c r="L78" s="1">
        <v>-120.44</v>
      </c>
      <c r="M78" s="1">
        <v>7.6280000000000001</v>
      </c>
      <c r="O78" s="1">
        <v>9</v>
      </c>
      <c r="P78" s="1">
        <v>5.0999999999999997E-2</v>
      </c>
      <c r="Q78" s="1">
        <v>170.059</v>
      </c>
      <c r="R78" s="1">
        <v>53</v>
      </c>
      <c r="S78" s="1">
        <v>205.89500000000001</v>
      </c>
      <c r="T78" s="1">
        <v>-120.76300000000001</v>
      </c>
      <c r="U78" s="1">
        <v>6.3070000000000004</v>
      </c>
      <c r="W78" s="1">
        <v>9</v>
      </c>
      <c r="X78" s="1">
        <v>6.6000000000000003E-2</v>
      </c>
      <c r="Y78" s="1">
        <v>180.1</v>
      </c>
      <c r="Z78" s="1">
        <v>20.581</v>
      </c>
      <c r="AA78" s="1">
        <v>213.16499999999999</v>
      </c>
      <c r="AB78" s="1">
        <v>-120.315</v>
      </c>
      <c r="AC78" s="1">
        <v>7.5039999999999996</v>
      </c>
      <c r="AE78" s="1">
        <v>9</v>
      </c>
      <c r="AF78" s="1">
        <v>6.0999999999999999E-2</v>
      </c>
      <c r="AG78" s="1">
        <v>176.07499999999999</v>
      </c>
      <c r="AH78" s="1">
        <v>147.61099999999999</v>
      </c>
      <c r="AI78" s="1">
        <v>207.333</v>
      </c>
      <c r="AJ78" s="1">
        <v>-120.163</v>
      </c>
      <c r="AK78" s="1">
        <v>7.3639999999999999</v>
      </c>
    </row>
    <row r="79" spans="1:37" x14ac:dyDescent="0.3">
      <c r="A79" s="2">
        <v>1098</v>
      </c>
      <c r="B79" s="42">
        <v>3</v>
      </c>
      <c r="C79" s="13">
        <v>1</v>
      </c>
      <c r="D79" s="2">
        <v>7</v>
      </c>
      <c r="E79" s="1">
        <f>AVERAGE(AG98:AG100)</f>
        <v>5.8703333333333338</v>
      </c>
    </row>
    <row r="80" spans="1:37" x14ac:dyDescent="0.3">
      <c r="A80" s="2">
        <v>1112</v>
      </c>
      <c r="B80" s="41">
        <v>1</v>
      </c>
      <c r="C80" s="13">
        <v>1</v>
      </c>
      <c r="D80" s="2">
        <v>7</v>
      </c>
      <c r="E80" s="1">
        <f>AVERAGE(AG102:AG104)</f>
        <v>6.6663333333333332</v>
      </c>
      <c r="G80" s="4" t="s">
        <v>18</v>
      </c>
      <c r="H80" s="1"/>
      <c r="I80" s="1"/>
      <c r="J80" s="1"/>
      <c r="K80" s="1"/>
      <c r="L80" s="1"/>
      <c r="M80" s="1"/>
      <c r="O80" s="4" t="s">
        <v>14</v>
      </c>
      <c r="P80" s="1"/>
      <c r="Q80" s="1"/>
      <c r="R80" s="1"/>
      <c r="S80" s="1"/>
      <c r="T80" s="1"/>
      <c r="U80" s="1"/>
      <c r="W80" s="4" t="s">
        <v>14</v>
      </c>
      <c r="X80" s="1"/>
      <c r="Y80" s="1"/>
      <c r="Z80" s="1"/>
      <c r="AA80" s="1"/>
      <c r="AB80" s="1"/>
      <c r="AC80" s="1"/>
      <c r="AE80" s="4" t="s">
        <v>21</v>
      </c>
      <c r="AF80" s="1"/>
      <c r="AG80" s="1"/>
      <c r="AH80" s="1"/>
      <c r="AI80" s="1"/>
      <c r="AJ80" s="1"/>
      <c r="AK80" s="1"/>
    </row>
    <row r="81" spans="1:37" x14ac:dyDescent="0.3">
      <c r="A81" s="2">
        <v>1112</v>
      </c>
      <c r="B81" s="42">
        <v>2</v>
      </c>
      <c r="C81" s="13">
        <v>1</v>
      </c>
      <c r="D81" s="2">
        <v>7</v>
      </c>
      <c r="E81" s="1">
        <f>AVERAGE(AG106:AG108)</f>
        <v>6.4796666666666667</v>
      </c>
      <c r="G81" s="1">
        <v>1</v>
      </c>
      <c r="H81" s="1">
        <v>4.8000000000000001E-2</v>
      </c>
      <c r="I81" s="1">
        <v>158.149</v>
      </c>
      <c r="J81" s="1">
        <v>20.007000000000001</v>
      </c>
      <c r="K81" s="1">
        <v>192.27600000000001</v>
      </c>
      <c r="L81" s="1">
        <v>-40.567</v>
      </c>
      <c r="M81" s="1">
        <v>5.9029999999999996</v>
      </c>
      <c r="O81" s="1">
        <v>1</v>
      </c>
      <c r="P81" s="1">
        <v>4.3999999999999997E-2</v>
      </c>
      <c r="Q81" s="1">
        <v>159.32</v>
      </c>
      <c r="R81" s="1">
        <v>54.332999999999998</v>
      </c>
      <c r="S81" s="1">
        <v>181.16</v>
      </c>
      <c r="T81" s="1">
        <v>-40.073</v>
      </c>
      <c r="U81" s="1">
        <v>5.3550000000000004</v>
      </c>
      <c r="W81" s="1">
        <v>1</v>
      </c>
      <c r="X81" s="1">
        <v>5.5E-2</v>
      </c>
      <c r="Y81" s="1">
        <v>176.35</v>
      </c>
      <c r="Z81" s="1">
        <v>63.912999999999997</v>
      </c>
      <c r="AA81" s="1">
        <v>191.99600000000001</v>
      </c>
      <c r="AB81" s="1">
        <v>-44.69</v>
      </c>
      <c r="AC81" s="1">
        <v>6.5410000000000004</v>
      </c>
      <c r="AE81" s="1">
        <v>1</v>
      </c>
      <c r="AF81" s="1">
        <v>0.06</v>
      </c>
      <c r="AG81" s="1">
        <v>185.18</v>
      </c>
      <c r="AH81" s="1">
        <v>55.365000000000002</v>
      </c>
      <c r="AI81" s="1">
        <v>199.11</v>
      </c>
      <c r="AJ81" s="1">
        <v>-51.911000000000001</v>
      </c>
      <c r="AK81" s="1">
        <v>6.7160000000000002</v>
      </c>
    </row>
    <row r="82" spans="1:37" x14ac:dyDescent="0.3">
      <c r="A82" s="2">
        <v>1112</v>
      </c>
      <c r="B82" s="42">
        <v>3</v>
      </c>
      <c r="C82" s="13">
        <v>1</v>
      </c>
      <c r="D82" s="2">
        <v>7</v>
      </c>
      <c r="E82" s="1">
        <f>AVERAGE(AG110:AG112)</f>
        <v>6.530333333333334</v>
      </c>
      <c r="G82" s="1">
        <v>2</v>
      </c>
      <c r="H82" s="1">
        <v>4.9000000000000002E-2</v>
      </c>
      <c r="I82" s="1">
        <v>158.13399999999999</v>
      </c>
      <c r="J82" s="1">
        <v>112</v>
      </c>
      <c r="K82" s="1">
        <v>194.667</v>
      </c>
      <c r="L82" s="1">
        <v>-90</v>
      </c>
      <c r="M82" s="1">
        <v>6.032</v>
      </c>
      <c r="O82" s="1">
        <v>2</v>
      </c>
      <c r="P82" s="1">
        <v>5.0999999999999997E-2</v>
      </c>
      <c r="Q82" s="1">
        <v>154.56700000000001</v>
      </c>
      <c r="R82" s="1">
        <v>54.332999999999998</v>
      </c>
      <c r="S82" s="1">
        <v>189</v>
      </c>
      <c r="T82" s="1">
        <v>-90</v>
      </c>
      <c r="U82" s="1">
        <v>6.2759999999999998</v>
      </c>
      <c r="W82" s="1">
        <v>2</v>
      </c>
      <c r="X82" s="1">
        <v>5.1999999999999998E-2</v>
      </c>
      <c r="Y82" s="1">
        <v>176.15700000000001</v>
      </c>
      <c r="Z82" s="1">
        <v>57</v>
      </c>
      <c r="AA82" s="1">
        <v>195.333</v>
      </c>
      <c r="AB82" s="1">
        <v>-90</v>
      </c>
      <c r="AC82" s="1">
        <v>6.1749999999999998</v>
      </c>
      <c r="AE82" s="1">
        <v>2</v>
      </c>
      <c r="AF82" s="1">
        <v>6.0999999999999999E-2</v>
      </c>
      <c r="AG82" s="1">
        <v>182.643</v>
      </c>
      <c r="AH82" s="1">
        <v>57.667000000000002</v>
      </c>
      <c r="AI82" s="1">
        <v>198</v>
      </c>
      <c r="AJ82" s="1">
        <v>-90.894999999999996</v>
      </c>
      <c r="AK82" s="1">
        <v>6.8579999999999997</v>
      </c>
    </row>
    <row r="83" spans="1:37" x14ac:dyDescent="0.3">
      <c r="A83" s="2">
        <v>1123</v>
      </c>
      <c r="B83" s="41">
        <v>1</v>
      </c>
      <c r="C83" s="13">
        <v>1</v>
      </c>
      <c r="D83" s="2">
        <v>7</v>
      </c>
      <c r="E83" s="1">
        <f>AVERAGE(AJ90:AJ92)</f>
        <v>6.4306666666666672</v>
      </c>
      <c r="G83" s="1">
        <v>3</v>
      </c>
      <c r="H83" s="1">
        <v>4.8000000000000001E-2</v>
      </c>
      <c r="I83" s="1">
        <v>158.04499999999999</v>
      </c>
      <c r="J83" s="1">
        <v>124.333</v>
      </c>
      <c r="K83" s="1">
        <v>192.828</v>
      </c>
      <c r="L83" s="1">
        <v>-120.434</v>
      </c>
      <c r="M83" s="1">
        <v>5.9859999999999998</v>
      </c>
      <c r="O83" s="1">
        <v>3</v>
      </c>
      <c r="P83" s="1">
        <v>4.7E-2</v>
      </c>
      <c r="Q83" s="1">
        <v>157.33199999999999</v>
      </c>
      <c r="R83" s="1">
        <v>54.332999999999998</v>
      </c>
      <c r="S83" s="1">
        <v>183.04900000000001</v>
      </c>
      <c r="T83" s="1">
        <v>-120.74299999999999</v>
      </c>
      <c r="U83" s="1">
        <v>5.7889999999999997</v>
      </c>
      <c r="W83" s="1">
        <v>3</v>
      </c>
      <c r="X83" s="1">
        <v>6.2E-2</v>
      </c>
      <c r="Y83" s="1">
        <v>176.13300000000001</v>
      </c>
      <c r="Z83" s="1">
        <v>57.750999999999998</v>
      </c>
      <c r="AA83" s="1">
        <v>195.62100000000001</v>
      </c>
      <c r="AB83" s="1">
        <v>-120.131</v>
      </c>
      <c r="AC83" s="1">
        <v>7.3710000000000004</v>
      </c>
      <c r="AE83" s="1">
        <v>3</v>
      </c>
      <c r="AF83" s="1">
        <v>6.8000000000000005E-2</v>
      </c>
      <c r="AG83" s="1">
        <v>184.99700000000001</v>
      </c>
      <c r="AH83" s="1">
        <v>57.667000000000002</v>
      </c>
      <c r="AI83" s="1">
        <v>199.96299999999999</v>
      </c>
      <c r="AJ83" s="1">
        <v>-120.872</v>
      </c>
      <c r="AK83" s="1">
        <v>7.6559999999999997</v>
      </c>
    </row>
    <row r="84" spans="1:37" x14ac:dyDescent="0.3">
      <c r="A84" s="2">
        <v>1123</v>
      </c>
      <c r="B84" s="42">
        <v>2</v>
      </c>
      <c r="C84" s="13">
        <v>1</v>
      </c>
      <c r="D84" s="2">
        <v>7</v>
      </c>
      <c r="E84" s="1">
        <f>AVERAGE(AJ94:AJ96)</f>
        <v>6.2043333333333335</v>
      </c>
      <c r="G84" s="4" t="s">
        <v>19</v>
      </c>
      <c r="H84" s="1"/>
      <c r="I84" s="1"/>
      <c r="J84" s="1"/>
      <c r="K84" s="1"/>
      <c r="L84" s="1"/>
      <c r="M84" s="1"/>
      <c r="O84" s="4" t="s">
        <v>15</v>
      </c>
      <c r="P84" s="1"/>
      <c r="Q84" s="1"/>
      <c r="R84" s="1"/>
      <c r="S84" s="1"/>
      <c r="T84" s="1"/>
      <c r="U84" s="1"/>
      <c r="W84" s="4" t="s">
        <v>15</v>
      </c>
      <c r="X84" s="1"/>
      <c r="Y84" s="1"/>
      <c r="Z84" s="1"/>
      <c r="AA84" s="1"/>
      <c r="AB84" s="1"/>
      <c r="AC84" s="1"/>
      <c r="AE84" s="4" t="s">
        <v>23</v>
      </c>
      <c r="AF84" s="1"/>
      <c r="AG84" s="1"/>
      <c r="AH84" s="1"/>
      <c r="AI84" s="1"/>
      <c r="AJ84" s="1"/>
      <c r="AK84" s="1"/>
    </row>
    <row r="85" spans="1:37" x14ac:dyDescent="0.3">
      <c r="A85" s="2">
        <v>1123</v>
      </c>
      <c r="B85" s="42">
        <v>3</v>
      </c>
      <c r="C85" s="13">
        <v>1</v>
      </c>
      <c r="D85" s="2">
        <v>7</v>
      </c>
      <c r="E85" s="1">
        <f>AVERAGE(AJ98:AJ100)</f>
        <v>6.31</v>
      </c>
      <c r="G85" s="1">
        <v>4</v>
      </c>
      <c r="H85" s="1">
        <v>4.5999999999999999E-2</v>
      </c>
      <c r="I85" s="1">
        <v>172.34399999999999</v>
      </c>
      <c r="J85" s="1">
        <v>47.917999999999999</v>
      </c>
      <c r="K85" s="1">
        <v>215.02199999999999</v>
      </c>
      <c r="L85" s="1">
        <v>-42.491</v>
      </c>
      <c r="M85" s="1">
        <v>5.7309999999999999</v>
      </c>
      <c r="O85" s="1">
        <v>4</v>
      </c>
      <c r="P85" s="1">
        <v>4.7E-2</v>
      </c>
      <c r="Q85" s="1">
        <v>166.685</v>
      </c>
      <c r="R85" s="1">
        <v>56.636000000000003</v>
      </c>
      <c r="S85" s="1">
        <v>194.86699999999999</v>
      </c>
      <c r="T85" s="1">
        <v>-47.509</v>
      </c>
      <c r="U85" s="1">
        <v>5.7770000000000001</v>
      </c>
      <c r="W85" s="1">
        <v>4</v>
      </c>
      <c r="X85" s="1">
        <v>5.7000000000000002E-2</v>
      </c>
      <c r="Y85" s="1">
        <v>178.54400000000001</v>
      </c>
      <c r="Z85" s="1">
        <v>30.332999999999998</v>
      </c>
      <c r="AA85" s="1">
        <v>200.33699999999999</v>
      </c>
      <c r="AB85" s="1">
        <v>-49.899000000000001</v>
      </c>
      <c r="AC85" s="1">
        <v>6.8310000000000004</v>
      </c>
      <c r="AE85" s="1">
        <v>4</v>
      </c>
      <c r="AF85" s="1">
        <v>6.2E-2</v>
      </c>
      <c r="AG85" s="1">
        <v>181.036</v>
      </c>
      <c r="AH85" s="1">
        <v>23.748000000000001</v>
      </c>
      <c r="AI85" s="1">
        <v>207</v>
      </c>
      <c r="AJ85" s="1">
        <v>-49.624000000000002</v>
      </c>
      <c r="AK85" s="1">
        <v>6.891</v>
      </c>
    </row>
    <row r="86" spans="1:37" x14ac:dyDescent="0.3">
      <c r="G86" s="1">
        <v>5</v>
      </c>
      <c r="H86" s="1">
        <v>0.05</v>
      </c>
      <c r="I86" s="1">
        <v>167.553</v>
      </c>
      <c r="J86" s="1">
        <v>45.332999999999998</v>
      </c>
      <c r="K86" s="1">
        <v>218</v>
      </c>
      <c r="L86" s="1">
        <v>-90</v>
      </c>
      <c r="M86" s="1">
        <v>6.1609999999999996</v>
      </c>
      <c r="O86" s="1">
        <v>5</v>
      </c>
      <c r="P86" s="1">
        <v>4.4999999999999998E-2</v>
      </c>
      <c r="Q86" s="1">
        <v>164.09299999999999</v>
      </c>
      <c r="R86" s="1">
        <v>134.667</v>
      </c>
      <c r="S86" s="1">
        <v>199.333</v>
      </c>
      <c r="T86" s="1">
        <v>-90</v>
      </c>
      <c r="U86" s="1">
        <v>5.5279999999999996</v>
      </c>
      <c r="W86" s="1">
        <v>5</v>
      </c>
      <c r="X86" s="1">
        <v>4.5999999999999999E-2</v>
      </c>
      <c r="Y86" s="1">
        <v>182.31899999999999</v>
      </c>
      <c r="Z86" s="1">
        <v>29</v>
      </c>
      <c r="AA86" s="1">
        <v>207</v>
      </c>
      <c r="AB86" s="1">
        <v>-90</v>
      </c>
      <c r="AC86" s="1">
        <v>5.5250000000000004</v>
      </c>
      <c r="AE86" s="1">
        <v>5</v>
      </c>
      <c r="AF86" s="1">
        <v>6.4000000000000001E-2</v>
      </c>
      <c r="AG86" s="1">
        <v>182.31899999999999</v>
      </c>
      <c r="AH86" s="1">
        <v>151.333</v>
      </c>
      <c r="AI86" s="1">
        <v>207</v>
      </c>
      <c r="AJ86" s="1">
        <v>-90</v>
      </c>
      <c r="AK86" s="1">
        <v>7.1429999999999998</v>
      </c>
    </row>
    <row r="87" spans="1:37" x14ac:dyDescent="0.3">
      <c r="G87" s="1">
        <v>6</v>
      </c>
      <c r="H87" s="1">
        <v>5.0999999999999997E-2</v>
      </c>
      <c r="I87" s="1">
        <v>167.304</v>
      </c>
      <c r="J87" s="1">
        <v>43.418999999999997</v>
      </c>
      <c r="K87" s="1">
        <v>216.25200000000001</v>
      </c>
      <c r="L87" s="1">
        <v>-120.913</v>
      </c>
      <c r="M87" s="1">
        <v>6.2789999999999999</v>
      </c>
      <c r="O87" s="1">
        <v>6</v>
      </c>
      <c r="P87" s="1">
        <v>5.0999999999999997E-2</v>
      </c>
      <c r="Q87" s="1">
        <v>161.773</v>
      </c>
      <c r="R87" s="1">
        <v>122.07899999999999</v>
      </c>
      <c r="S87" s="1">
        <v>194.36500000000001</v>
      </c>
      <c r="T87" s="1">
        <v>-120.708</v>
      </c>
      <c r="U87" s="1">
        <v>6.2409999999999997</v>
      </c>
      <c r="W87" s="1">
        <v>6</v>
      </c>
      <c r="X87" s="1">
        <v>5.8000000000000003E-2</v>
      </c>
      <c r="Y87" s="1">
        <v>181.524</v>
      </c>
      <c r="Z87" s="1">
        <v>27.5</v>
      </c>
      <c r="AA87" s="1">
        <v>215.17099999999999</v>
      </c>
      <c r="AB87" s="1">
        <v>-120.434</v>
      </c>
      <c r="AC87" s="1">
        <v>6.9589999999999996</v>
      </c>
      <c r="AE87" s="1">
        <v>6</v>
      </c>
      <c r="AF87" s="1">
        <v>7.4999999999999997E-2</v>
      </c>
      <c r="AG87" s="1">
        <v>180.703</v>
      </c>
      <c r="AH87" s="1">
        <v>157.45699999999999</v>
      </c>
      <c r="AI87" s="1">
        <v>207</v>
      </c>
      <c r="AJ87" s="1">
        <v>-120.379</v>
      </c>
      <c r="AK87" s="1">
        <v>8.4039999999999999</v>
      </c>
    </row>
    <row r="88" spans="1:37" x14ac:dyDescent="0.3">
      <c r="G88" s="4" t="s">
        <v>29</v>
      </c>
      <c r="H88" s="1"/>
      <c r="I88" s="1"/>
      <c r="J88" s="1"/>
      <c r="K88" s="1"/>
      <c r="L88" s="1"/>
      <c r="M88" s="1"/>
      <c r="O88" s="4" t="s">
        <v>16</v>
      </c>
      <c r="P88" s="1"/>
      <c r="Q88" s="1"/>
      <c r="R88" s="1"/>
      <c r="S88" s="1"/>
      <c r="T88" s="1"/>
      <c r="U88" s="1"/>
      <c r="W88" s="4" t="s">
        <v>16</v>
      </c>
      <c r="X88" s="1"/>
      <c r="Y88" s="1"/>
      <c r="Z88" s="1"/>
      <c r="AA88" s="1"/>
      <c r="AB88" s="1"/>
      <c r="AC88" s="1"/>
    </row>
    <row r="89" spans="1:37" x14ac:dyDescent="0.3">
      <c r="G89" s="1">
        <v>7</v>
      </c>
      <c r="H89" s="1">
        <v>5.1999999999999998E-2</v>
      </c>
      <c r="I89" s="1">
        <v>168.77600000000001</v>
      </c>
      <c r="J89" s="1">
        <v>38</v>
      </c>
      <c r="K89" s="1">
        <v>210.68299999999999</v>
      </c>
      <c r="L89" s="1">
        <v>-48.896000000000001</v>
      </c>
      <c r="M89" s="1">
        <v>6.3789999999999996</v>
      </c>
      <c r="O89" s="1">
        <v>7</v>
      </c>
      <c r="P89" s="1">
        <v>4.9000000000000002E-2</v>
      </c>
      <c r="Q89" s="1">
        <v>172.06</v>
      </c>
      <c r="R89" s="1">
        <v>135.333</v>
      </c>
      <c r="S89" s="1">
        <v>209.28</v>
      </c>
      <c r="T89" s="1">
        <v>-47.460999999999999</v>
      </c>
      <c r="U89" s="1">
        <v>6.0250000000000004</v>
      </c>
      <c r="W89" s="1">
        <v>7</v>
      </c>
      <c r="X89" s="1">
        <v>5.3999999999999999E-2</v>
      </c>
      <c r="Y89" s="1">
        <v>188.42</v>
      </c>
      <c r="Z89" s="1">
        <v>56</v>
      </c>
      <c r="AA89" s="1">
        <v>216.102</v>
      </c>
      <c r="AB89" s="1">
        <v>-47.366</v>
      </c>
      <c r="AC89" s="1">
        <v>6.4219999999999997</v>
      </c>
      <c r="AE89" s="4" t="s">
        <v>37</v>
      </c>
      <c r="AF89" s="16" t="s">
        <v>5</v>
      </c>
      <c r="AG89" s="37" t="s">
        <v>6</v>
      </c>
      <c r="AH89" s="39" t="s">
        <v>43</v>
      </c>
      <c r="AI89" s="16" t="s">
        <v>5</v>
      </c>
      <c r="AJ89" s="16" t="s">
        <v>6</v>
      </c>
    </row>
    <row r="90" spans="1:37" x14ac:dyDescent="0.3">
      <c r="G90" s="1">
        <v>8</v>
      </c>
      <c r="H90" s="1">
        <v>5.1999999999999998E-2</v>
      </c>
      <c r="I90" s="1">
        <v>163.63300000000001</v>
      </c>
      <c r="J90" s="1">
        <v>38</v>
      </c>
      <c r="K90" s="1">
        <v>214.333</v>
      </c>
      <c r="L90" s="1">
        <v>-90</v>
      </c>
      <c r="M90" s="1">
        <v>6.452</v>
      </c>
      <c r="O90" s="1">
        <v>8</v>
      </c>
      <c r="P90" s="1">
        <v>5.0999999999999997E-2</v>
      </c>
      <c r="Q90" s="1">
        <v>168.15600000000001</v>
      </c>
      <c r="R90" s="1">
        <v>107</v>
      </c>
      <c r="S90" s="1">
        <v>210.667</v>
      </c>
      <c r="T90" s="1">
        <v>-90</v>
      </c>
      <c r="U90" s="1">
        <v>6.3170000000000002</v>
      </c>
      <c r="W90" s="1">
        <v>8</v>
      </c>
      <c r="X90" s="1">
        <v>5.2999999999999999E-2</v>
      </c>
      <c r="Y90" s="1">
        <v>189.75800000000001</v>
      </c>
      <c r="Z90" s="1">
        <v>56</v>
      </c>
      <c r="AA90" s="1">
        <v>216.333</v>
      </c>
      <c r="AB90" s="1">
        <v>-90</v>
      </c>
      <c r="AC90" s="1">
        <v>6.35</v>
      </c>
      <c r="AE90" s="1">
        <v>1</v>
      </c>
      <c r="AF90" s="1">
        <v>-46.005000000000003</v>
      </c>
      <c r="AG90" s="36">
        <v>5.9480000000000004</v>
      </c>
      <c r="AH90" s="3">
        <v>1</v>
      </c>
      <c r="AI90" s="1">
        <v>-42.984999999999999</v>
      </c>
      <c r="AJ90" s="1">
        <v>6.4</v>
      </c>
    </row>
    <row r="91" spans="1:37" x14ac:dyDescent="0.3">
      <c r="G91" s="1">
        <v>9</v>
      </c>
      <c r="H91" s="1">
        <v>5.6000000000000001E-2</v>
      </c>
      <c r="I91" s="1">
        <v>168.51</v>
      </c>
      <c r="J91" s="1">
        <v>38</v>
      </c>
      <c r="K91" s="1">
        <v>214.64500000000001</v>
      </c>
      <c r="L91" s="1">
        <v>-120.371</v>
      </c>
      <c r="M91" s="1">
        <v>6.9539999999999997</v>
      </c>
      <c r="O91" s="1">
        <v>9</v>
      </c>
      <c r="P91" s="1">
        <v>6.0999999999999999E-2</v>
      </c>
      <c r="Q91" s="1">
        <v>168.97</v>
      </c>
      <c r="R91" s="1">
        <v>128.672</v>
      </c>
      <c r="S91" s="1">
        <v>210.06200000000001</v>
      </c>
      <c r="T91" s="1">
        <v>-120.256</v>
      </c>
      <c r="U91" s="1">
        <v>7.4539999999999997</v>
      </c>
      <c r="W91" s="1">
        <v>9</v>
      </c>
      <c r="X91" s="1">
        <v>5.7000000000000002E-2</v>
      </c>
      <c r="Y91" s="1">
        <v>193.114</v>
      </c>
      <c r="Z91" s="1">
        <v>54.859000000000002</v>
      </c>
      <c r="AA91" s="1">
        <v>213.94900000000001</v>
      </c>
      <c r="AB91" s="1">
        <v>-120.75</v>
      </c>
      <c r="AC91" s="1">
        <v>6.8940000000000001</v>
      </c>
      <c r="AE91" s="1">
        <v>2</v>
      </c>
      <c r="AF91" s="1">
        <v>-90</v>
      </c>
      <c r="AG91" s="36">
        <v>5.6559999999999997</v>
      </c>
      <c r="AH91" s="3">
        <v>2</v>
      </c>
      <c r="AI91" s="1">
        <v>-90</v>
      </c>
      <c r="AJ91" s="1">
        <v>6.2270000000000003</v>
      </c>
    </row>
    <row r="92" spans="1:37" x14ac:dyDescent="0.3">
      <c r="AE92" s="1">
        <v>3</v>
      </c>
      <c r="AF92" s="1">
        <v>-120.324</v>
      </c>
      <c r="AG92" s="36">
        <v>6.0389999999999997</v>
      </c>
      <c r="AH92" s="3">
        <v>3</v>
      </c>
      <c r="AI92" s="1">
        <v>-120.76300000000001</v>
      </c>
      <c r="AJ92" s="1">
        <v>6.665</v>
      </c>
    </row>
    <row r="93" spans="1:37" x14ac:dyDescent="0.3">
      <c r="G93" s="4" t="s">
        <v>21</v>
      </c>
      <c r="H93" s="1"/>
      <c r="I93" s="1"/>
      <c r="J93" s="1"/>
      <c r="K93" s="1"/>
      <c r="L93" s="1"/>
      <c r="M93" s="1"/>
      <c r="N93" s="5" t="s">
        <v>37</v>
      </c>
      <c r="O93" s="23" t="s">
        <v>5</v>
      </c>
      <c r="P93" s="35" t="s">
        <v>6</v>
      </c>
      <c r="Q93" s="39" t="s">
        <v>43</v>
      </c>
      <c r="R93" s="16" t="s">
        <v>5</v>
      </c>
      <c r="S93" s="16" t="s">
        <v>6</v>
      </c>
      <c r="W93" s="4" t="s">
        <v>26</v>
      </c>
      <c r="X93" s="1"/>
      <c r="Y93" s="1"/>
      <c r="Z93" s="1"/>
      <c r="AA93" s="1"/>
      <c r="AB93" s="1"/>
      <c r="AC93" s="1"/>
      <c r="AE93" s="4" t="s">
        <v>38</v>
      </c>
      <c r="AF93" s="1"/>
      <c r="AG93" s="36"/>
      <c r="AH93" s="5" t="s">
        <v>44</v>
      </c>
      <c r="AI93" s="1"/>
      <c r="AJ93" s="1"/>
    </row>
    <row r="94" spans="1:37" x14ac:dyDescent="0.3">
      <c r="G94" s="1">
        <v>1</v>
      </c>
      <c r="H94" s="1">
        <v>5.0999999999999997E-2</v>
      </c>
      <c r="I94" s="1">
        <v>175.62700000000001</v>
      </c>
      <c r="J94" s="1">
        <v>54.305</v>
      </c>
      <c r="K94" s="1">
        <v>200.31200000000001</v>
      </c>
      <c r="L94" s="1">
        <v>-44.320999999999998</v>
      </c>
      <c r="M94" s="1">
        <v>6.0140000000000002</v>
      </c>
      <c r="N94" s="33">
        <v>1</v>
      </c>
      <c r="O94" s="1">
        <v>-40.600999999999999</v>
      </c>
      <c r="P94" s="36">
        <v>5.3529999999999998</v>
      </c>
      <c r="Q94" s="3">
        <v>1</v>
      </c>
      <c r="R94" s="1">
        <v>-43.069000000000003</v>
      </c>
      <c r="S94" s="1">
        <v>6.0940000000000003</v>
      </c>
      <c r="W94" s="1">
        <v>1</v>
      </c>
      <c r="X94" s="1">
        <v>5.8000000000000003E-2</v>
      </c>
      <c r="Y94" s="1">
        <v>176.14599999999999</v>
      </c>
      <c r="Z94" s="1">
        <v>154.34800000000001</v>
      </c>
      <c r="AA94" s="1">
        <v>187.17099999999999</v>
      </c>
      <c r="AB94" s="1">
        <v>-46.012</v>
      </c>
      <c r="AC94" s="1">
        <v>6.7839999999999998</v>
      </c>
      <c r="AE94" s="1">
        <v>1</v>
      </c>
      <c r="AF94" s="1">
        <v>-40.384</v>
      </c>
      <c r="AG94" s="36">
        <v>5.617</v>
      </c>
      <c r="AH94" s="3">
        <v>1</v>
      </c>
      <c r="AI94" s="1">
        <v>-47.573</v>
      </c>
      <c r="AJ94" s="1">
        <v>5.7270000000000003</v>
      </c>
    </row>
    <row r="95" spans="1:37" x14ac:dyDescent="0.3">
      <c r="G95" s="1">
        <v>2</v>
      </c>
      <c r="H95" s="1">
        <v>5.7000000000000002E-2</v>
      </c>
      <c r="I95" s="1">
        <v>170.48500000000001</v>
      </c>
      <c r="J95" s="1">
        <v>139.667</v>
      </c>
      <c r="K95" s="1">
        <v>198.333</v>
      </c>
      <c r="L95" s="1">
        <v>-90</v>
      </c>
      <c r="M95" s="1">
        <v>6.7229999999999999</v>
      </c>
      <c r="N95" s="33">
        <v>2</v>
      </c>
      <c r="O95" s="1">
        <v>-90</v>
      </c>
      <c r="P95" s="36">
        <v>5.758</v>
      </c>
      <c r="Q95" s="3">
        <v>2</v>
      </c>
      <c r="R95" s="1">
        <v>-90</v>
      </c>
      <c r="S95" s="1">
        <v>6</v>
      </c>
      <c r="W95" s="1">
        <v>2</v>
      </c>
      <c r="X95" s="1">
        <v>4.9000000000000002E-2</v>
      </c>
      <c r="Y95" s="1">
        <v>178.22800000000001</v>
      </c>
      <c r="Z95" s="1">
        <v>128</v>
      </c>
      <c r="AA95" s="1">
        <v>188.333</v>
      </c>
      <c r="AB95" s="1">
        <v>-90</v>
      </c>
      <c r="AC95" s="1">
        <v>5.7629999999999999</v>
      </c>
      <c r="AE95" s="1">
        <v>2</v>
      </c>
      <c r="AF95" s="1">
        <v>-90</v>
      </c>
      <c r="AG95" s="36">
        <v>5.3609999999999998</v>
      </c>
      <c r="AH95" s="3">
        <v>2</v>
      </c>
      <c r="AI95" s="1">
        <v>-90</v>
      </c>
      <c r="AJ95" s="1">
        <v>6.1820000000000004</v>
      </c>
    </row>
    <row r="96" spans="1:37" x14ac:dyDescent="0.3">
      <c r="G96" s="1">
        <v>3</v>
      </c>
      <c r="H96" s="1">
        <v>0.06</v>
      </c>
      <c r="I96" s="1">
        <v>168.339</v>
      </c>
      <c r="J96" s="1">
        <v>132.88900000000001</v>
      </c>
      <c r="K96" s="1">
        <v>200.07499999999999</v>
      </c>
      <c r="L96" s="1">
        <v>-120.411</v>
      </c>
      <c r="M96" s="1">
        <v>7.1719999999999997</v>
      </c>
      <c r="N96" s="32">
        <v>3</v>
      </c>
      <c r="O96" s="1">
        <v>-120.88500000000001</v>
      </c>
      <c r="P96" s="36">
        <v>6.0330000000000004</v>
      </c>
      <c r="Q96" s="3">
        <v>3</v>
      </c>
      <c r="R96" s="1">
        <v>-120.16500000000001</v>
      </c>
      <c r="S96" s="1">
        <v>6.548</v>
      </c>
      <c r="W96" s="1">
        <v>3</v>
      </c>
      <c r="X96" s="1">
        <v>5.7000000000000002E-2</v>
      </c>
      <c r="Y96" s="1">
        <v>179.90799999999999</v>
      </c>
      <c r="Z96" s="1">
        <v>163.44399999999999</v>
      </c>
      <c r="AA96" s="1">
        <v>190.92599999999999</v>
      </c>
      <c r="AB96" s="1">
        <v>-120.319</v>
      </c>
      <c r="AC96" s="1">
        <v>6.7149999999999999</v>
      </c>
      <c r="AE96" s="1">
        <v>3</v>
      </c>
      <c r="AF96" s="1">
        <v>-120.393</v>
      </c>
      <c r="AG96" s="36">
        <v>5.93</v>
      </c>
      <c r="AH96" s="3">
        <v>3</v>
      </c>
      <c r="AI96" s="1">
        <v>-120.56399999999999</v>
      </c>
      <c r="AJ96" s="1">
        <v>6.7039999999999997</v>
      </c>
    </row>
    <row r="97" spans="7:36" x14ac:dyDescent="0.3">
      <c r="G97" s="4" t="s">
        <v>23</v>
      </c>
      <c r="H97" s="1"/>
      <c r="I97" s="1"/>
      <c r="J97" s="1"/>
      <c r="K97" s="1"/>
      <c r="L97" s="1"/>
      <c r="M97" s="1"/>
      <c r="N97" s="38" t="s">
        <v>38</v>
      </c>
      <c r="O97" s="1"/>
      <c r="P97" s="36"/>
      <c r="Q97" s="5" t="s">
        <v>44</v>
      </c>
      <c r="R97" s="1"/>
      <c r="S97" s="1"/>
      <c r="W97" s="4" t="s">
        <v>8</v>
      </c>
      <c r="X97" s="1"/>
      <c r="Y97" s="1"/>
      <c r="Z97" s="1"/>
      <c r="AA97" s="1"/>
      <c r="AB97" s="1"/>
      <c r="AC97" s="1"/>
      <c r="AE97" s="4" t="s">
        <v>39</v>
      </c>
      <c r="AF97" s="1"/>
      <c r="AG97" s="36"/>
      <c r="AH97" s="5" t="s">
        <v>45</v>
      </c>
      <c r="AI97" s="1"/>
      <c r="AJ97" s="1"/>
    </row>
    <row r="98" spans="7:36" x14ac:dyDescent="0.3">
      <c r="G98" s="1">
        <v>4</v>
      </c>
      <c r="H98" s="1">
        <v>4.8000000000000001E-2</v>
      </c>
      <c r="I98" s="1">
        <v>168.316</v>
      </c>
      <c r="J98" s="1">
        <v>62.52</v>
      </c>
      <c r="K98" s="1">
        <v>198.333</v>
      </c>
      <c r="L98" s="1">
        <v>-46.42</v>
      </c>
      <c r="M98" s="1">
        <v>5.7539999999999996</v>
      </c>
      <c r="N98" s="32">
        <v>1</v>
      </c>
      <c r="O98" s="1">
        <v>-40.292000000000002</v>
      </c>
      <c r="P98" s="36">
        <v>5.8360000000000003</v>
      </c>
      <c r="Q98" s="3">
        <v>1</v>
      </c>
      <c r="R98" s="1">
        <v>-45.637</v>
      </c>
      <c r="S98" s="1">
        <v>6.1589999999999998</v>
      </c>
      <c r="W98" s="1">
        <v>4</v>
      </c>
      <c r="X98" s="1">
        <v>5.6000000000000001E-2</v>
      </c>
      <c r="Y98" s="1">
        <v>172.72499999999999</v>
      </c>
      <c r="Z98" s="1">
        <v>34.058999999999997</v>
      </c>
      <c r="AA98" s="1">
        <v>210.56700000000001</v>
      </c>
      <c r="AB98" s="1">
        <v>-44.792000000000002</v>
      </c>
      <c r="AC98" s="1">
        <v>6.5919999999999996</v>
      </c>
      <c r="AE98" s="1">
        <v>1</v>
      </c>
      <c r="AF98" s="1">
        <v>-44.334000000000003</v>
      </c>
      <c r="AG98" s="36">
        <v>5.9820000000000002</v>
      </c>
      <c r="AH98" s="3">
        <v>1</v>
      </c>
      <c r="AI98" s="1">
        <v>-43.451999999999998</v>
      </c>
      <c r="AJ98" s="1">
        <v>5.9480000000000004</v>
      </c>
    </row>
    <row r="99" spans="7:36" x14ac:dyDescent="0.3">
      <c r="G99" s="1">
        <v>5</v>
      </c>
      <c r="H99" s="1">
        <v>5.2999999999999999E-2</v>
      </c>
      <c r="I99" s="1">
        <v>165.38300000000001</v>
      </c>
      <c r="J99" s="1">
        <v>134.667</v>
      </c>
      <c r="K99" s="1">
        <v>198.333</v>
      </c>
      <c r="L99" s="1">
        <v>-90</v>
      </c>
      <c r="M99" s="1">
        <v>6.2519999999999998</v>
      </c>
      <c r="N99" s="32">
        <v>2</v>
      </c>
      <c r="O99" s="1">
        <v>-90</v>
      </c>
      <c r="P99" s="36">
        <v>5.6609999999999996</v>
      </c>
      <c r="Q99" s="3">
        <v>2</v>
      </c>
      <c r="R99" s="1">
        <v>-90</v>
      </c>
      <c r="S99" s="1">
        <v>5.9029999999999996</v>
      </c>
      <c r="W99" s="1">
        <v>5</v>
      </c>
      <c r="X99" s="1">
        <v>0.05</v>
      </c>
      <c r="Y99" s="1">
        <v>175.536</v>
      </c>
      <c r="Z99" s="1">
        <v>56.332999999999998</v>
      </c>
      <c r="AA99" s="1">
        <v>206.667</v>
      </c>
      <c r="AB99" s="1">
        <v>-90</v>
      </c>
      <c r="AC99" s="1">
        <v>5.8979999999999997</v>
      </c>
      <c r="AE99" s="1">
        <v>2</v>
      </c>
      <c r="AF99" s="1">
        <v>-90.503</v>
      </c>
      <c r="AG99" s="36">
        <v>5.6070000000000002</v>
      </c>
      <c r="AH99" s="3">
        <v>2</v>
      </c>
      <c r="AI99" s="1">
        <v>-90</v>
      </c>
      <c r="AJ99" s="1">
        <v>6.0910000000000002</v>
      </c>
    </row>
    <row r="100" spans="7:36" x14ac:dyDescent="0.3">
      <c r="G100" s="1">
        <v>6</v>
      </c>
      <c r="H100" s="1">
        <v>5.5E-2</v>
      </c>
      <c r="I100" s="1">
        <v>166.34800000000001</v>
      </c>
      <c r="J100" s="1">
        <v>138.11500000000001</v>
      </c>
      <c r="K100" s="1">
        <v>198.333</v>
      </c>
      <c r="L100" s="1">
        <v>-120.40600000000001</v>
      </c>
      <c r="M100" s="1">
        <v>6.5090000000000003</v>
      </c>
      <c r="N100" s="32">
        <v>3</v>
      </c>
      <c r="O100" s="1">
        <v>-120.393</v>
      </c>
      <c r="P100" s="36">
        <v>5.8339999999999996</v>
      </c>
      <c r="Q100" s="3">
        <v>3</v>
      </c>
      <c r="R100" s="1">
        <v>-120.444</v>
      </c>
      <c r="S100" s="1">
        <v>6.3979999999999997</v>
      </c>
      <c r="W100" s="1">
        <v>6</v>
      </c>
      <c r="X100" s="1">
        <v>5.3999999999999999E-2</v>
      </c>
      <c r="Y100" s="1">
        <v>179.06700000000001</v>
      </c>
      <c r="Z100" s="1">
        <v>62.360999999999997</v>
      </c>
      <c r="AA100" s="1">
        <v>206.709</v>
      </c>
      <c r="AB100" s="1">
        <v>-120.91200000000001</v>
      </c>
      <c r="AC100" s="1">
        <v>6.4009999999999998</v>
      </c>
      <c r="AE100" s="1">
        <v>3</v>
      </c>
      <c r="AF100" s="1">
        <v>-120.964</v>
      </c>
      <c r="AG100" s="36">
        <v>6.0220000000000002</v>
      </c>
      <c r="AH100" s="3">
        <v>3</v>
      </c>
      <c r="AI100" s="1">
        <v>-120.964</v>
      </c>
      <c r="AJ100" s="1">
        <v>6.891</v>
      </c>
    </row>
    <row r="101" spans="7:36" x14ac:dyDescent="0.3">
      <c r="N101" s="38" t="s">
        <v>39</v>
      </c>
      <c r="O101" s="1"/>
      <c r="P101" s="36"/>
      <c r="Q101" s="5" t="s">
        <v>45</v>
      </c>
      <c r="R101" s="1"/>
      <c r="S101" s="1"/>
      <c r="W101" s="4" t="s">
        <v>9</v>
      </c>
      <c r="X101" s="1"/>
      <c r="Y101" s="1"/>
      <c r="Z101" s="1"/>
      <c r="AA101" s="1"/>
      <c r="AB101" s="1"/>
      <c r="AC101" s="1"/>
      <c r="AE101" s="4" t="s">
        <v>40</v>
      </c>
      <c r="AF101" s="1"/>
      <c r="AG101" s="36"/>
      <c r="AH101" s="3"/>
      <c r="AI101" s="1"/>
      <c r="AJ101" s="1"/>
    </row>
    <row r="102" spans="7:36" x14ac:dyDescent="0.3">
      <c r="N102" s="32">
        <v>1</v>
      </c>
      <c r="O102" s="1">
        <v>-42.825000000000003</v>
      </c>
      <c r="P102" s="36">
        <v>5.41</v>
      </c>
      <c r="Q102" s="3">
        <v>1</v>
      </c>
      <c r="R102" s="1">
        <v>-45</v>
      </c>
      <c r="S102" s="1">
        <v>6.0220000000000002</v>
      </c>
      <c r="W102" s="1">
        <v>7</v>
      </c>
      <c r="X102" s="1">
        <v>5.8000000000000003E-2</v>
      </c>
      <c r="Y102" s="1">
        <v>174.53299999999999</v>
      </c>
      <c r="Z102" s="1">
        <v>161.80699999999999</v>
      </c>
      <c r="AA102" s="1">
        <v>211.684</v>
      </c>
      <c r="AB102" s="1">
        <v>-55.656999999999996</v>
      </c>
      <c r="AC102" s="1">
        <v>6.8049999999999997</v>
      </c>
      <c r="AE102" s="1">
        <v>1</v>
      </c>
      <c r="AF102" s="1">
        <v>-40.600999999999999</v>
      </c>
      <c r="AG102" s="36">
        <v>6.6189999999999998</v>
      </c>
      <c r="AH102" s="3"/>
      <c r="AI102" s="1"/>
      <c r="AJ102" s="1"/>
    </row>
    <row r="103" spans="7:36" x14ac:dyDescent="0.3">
      <c r="N103" s="32">
        <v>2</v>
      </c>
      <c r="O103" s="1">
        <v>-90</v>
      </c>
      <c r="P103" s="36">
        <v>5.6609999999999996</v>
      </c>
      <c r="Q103" s="3">
        <v>2</v>
      </c>
      <c r="R103" s="1">
        <v>-90.474000000000004</v>
      </c>
      <c r="S103" s="1">
        <v>5.8550000000000004</v>
      </c>
      <c r="W103" s="1">
        <v>8</v>
      </c>
      <c r="X103" s="1">
        <v>5.2999999999999999E-2</v>
      </c>
      <c r="Y103" s="1">
        <v>174.34200000000001</v>
      </c>
      <c r="Z103" s="1">
        <v>152.19</v>
      </c>
      <c r="AA103" s="1">
        <v>212.471</v>
      </c>
      <c r="AB103" s="1">
        <v>-90.935000000000002</v>
      </c>
      <c r="AC103" s="1">
        <v>6.23</v>
      </c>
      <c r="AE103" s="1">
        <v>2</v>
      </c>
      <c r="AF103" s="1">
        <v>-90</v>
      </c>
      <c r="AG103" s="36">
        <v>6.5380000000000003</v>
      </c>
      <c r="AH103" s="3"/>
      <c r="AI103" s="1"/>
      <c r="AJ103" s="1"/>
    </row>
    <row r="104" spans="7:36" x14ac:dyDescent="0.3">
      <c r="N104" s="32">
        <v>3</v>
      </c>
      <c r="O104" s="1">
        <v>-120.801</v>
      </c>
      <c r="P104" s="36">
        <v>5.859</v>
      </c>
      <c r="Q104" s="3">
        <v>3</v>
      </c>
      <c r="R104" s="1">
        <v>-121.19499999999999</v>
      </c>
      <c r="S104" s="1">
        <v>6.1660000000000004</v>
      </c>
      <c r="W104" s="1">
        <v>9</v>
      </c>
      <c r="X104" s="1">
        <v>5.5E-2</v>
      </c>
      <c r="Y104" s="1">
        <v>181.17500000000001</v>
      </c>
      <c r="Z104" s="1">
        <v>142.929</v>
      </c>
      <c r="AA104" s="1">
        <v>208.834</v>
      </c>
      <c r="AB104" s="1">
        <v>-119.604</v>
      </c>
      <c r="AC104" s="1">
        <v>6.4329999999999998</v>
      </c>
      <c r="AE104" s="1">
        <v>3</v>
      </c>
      <c r="AF104" s="1">
        <v>-120.89</v>
      </c>
      <c r="AG104" s="36">
        <v>6.8419999999999996</v>
      </c>
      <c r="AH104" s="3"/>
      <c r="AI104" s="1"/>
      <c r="AJ104" s="1"/>
    </row>
    <row r="105" spans="7:36" x14ac:dyDescent="0.3">
      <c r="N105" s="38" t="s">
        <v>40</v>
      </c>
      <c r="O105" s="1"/>
      <c r="P105" s="1"/>
      <c r="AE105" s="1" t="s">
        <v>41</v>
      </c>
      <c r="AF105" s="1"/>
      <c r="AG105" s="36"/>
      <c r="AH105" s="3"/>
      <c r="AI105" s="1"/>
      <c r="AJ105" s="1"/>
    </row>
    <row r="106" spans="7:36" x14ac:dyDescent="0.3">
      <c r="N106" s="32">
        <v>1</v>
      </c>
      <c r="O106" s="1">
        <v>-46.95</v>
      </c>
      <c r="P106" s="1">
        <v>5.7130000000000001</v>
      </c>
      <c r="AE106" s="1">
        <v>1</v>
      </c>
      <c r="AF106" s="1">
        <v>-42.195</v>
      </c>
      <c r="AG106" s="36">
        <v>6.2990000000000004</v>
      </c>
      <c r="AH106" s="3"/>
      <c r="AI106" s="1"/>
      <c r="AJ106" s="1"/>
    </row>
    <row r="107" spans="7:36" x14ac:dyDescent="0.3">
      <c r="N107" s="32">
        <v>2</v>
      </c>
      <c r="O107" s="1">
        <v>-90</v>
      </c>
      <c r="P107" s="1">
        <v>6.0750000000000002</v>
      </c>
      <c r="AE107" s="1">
        <v>2</v>
      </c>
      <c r="AF107" s="1">
        <v>-90</v>
      </c>
      <c r="AG107" s="36">
        <v>6.2050000000000001</v>
      </c>
      <c r="AH107" s="3"/>
      <c r="AI107" s="1"/>
      <c r="AJ107" s="1"/>
    </row>
    <row r="108" spans="7:36" x14ac:dyDescent="0.3">
      <c r="N108" s="32">
        <v>3</v>
      </c>
      <c r="O108" s="1">
        <v>-120.964</v>
      </c>
      <c r="P108" s="1">
        <v>5.9770000000000003</v>
      </c>
      <c r="AE108" s="1">
        <v>3</v>
      </c>
      <c r="AF108" s="1">
        <v>-120.92700000000001</v>
      </c>
      <c r="AG108" s="36">
        <v>6.9349999999999996</v>
      </c>
      <c r="AH108" s="3"/>
      <c r="AI108" s="1"/>
      <c r="AJ108" s="1"/>
    </row>
    <row r="109" spans="7:36" x14ac:dyDescent="0.3">
      <c r="N109" s="38" t="s">
        <v>41</v>
      </c>
      <c r="O109" s="1"/>
      <c r="P109" s="1"/>
      <c r="AE109" s="1" t="s">
        <v>42</v>
      </c>
      <c r="AF109" s="1"/>
      <c r="AG109" s="36"/>
      <c r="AH109" s="3"/>
      <c r="AI109" s="1"/>
      <c r="AJ109" s="1"/>
    </row>
    <row r="110" spans="7:36" x14ac:dyDescent="0.3">
      <c r="N110" s="32">
        <v>1</v>
      </c>
      <c r="O110" s="1">
        <v>-41.26</v>
      </c>
      <c r="P110" s="1">
        <v>5.4210000000000003</v>
      </c>
      <c r="AE110" s="1">
        <v>1</v>
      </c>
      <c r="AF110" s="1">
        <v>-40.807000000000002</v>
      </c>
      <c r="AG110" s="36">
        <v>6.1989999999999998</v>
      </c>
      <c r="AH110" s="3"/>
      <c r="AI110" s="1"/>
      <c r="AJ110" s="1"/>
    </row>
    <row r="111" spans="7:36" x14ac:dyDescent="0.3">
      <c r="N111" s="32">
        <v>2</v>
      </c>
      <c r="O111" s="1">
        <v>-90</v>
      </c>
      <c r="P111" s="1">
        <v>5.6</v>
      </c>
      <c r="AE111" s="1">
        <v>2</v>
      </c>
      <c r="AF111" s="1">
        <v>-90</v>
      </c>
      <c r="AG111" s="36">
        <v>6.3079999999999998</v>
      </c>
      <c r="AH111" s="3"/>
      <c r="AI111" s="1"/>
      <c r="AJ111" s="1"/>
    </row>
    <row r="112" spans="7:36" x14ac:dyDescent="0.3">
      <c r="N112" s="32">
        <v>3</v>
      </c>
      <c r="O112" s="1">
        <v>-120.57899999999999</v>
      </c>
      <c r="P112" s="1">
        <v>6.3879999999999999</v>
      </c>
      <c r="AE112" s="1">
        <v>3</v>
      </c>
      <c r="AF112" s="1">
        <v>-120.928</v>
      </c>
      <c r="AG112" s="36">
        <v>7.0839999999999996</v>
      </c>
      <c r="AH112" s="3"/>
      <c r="AI112" s="1"/>
      <c r="AJ112" s="1"/>
    </row>
    <row r="113" spans="14:16" x14ac:dyDescent="0.3">
      <c r="N113" s="38" t="s">
        <v>42</v>
      </c>
      <c r="O113" s="1"/>
      <c r="P113" s="1"/>
    </row>
    <row r="114" spans="14:16" x14ac:dyDescent="0.3">
      <c r="N114" s="32">
        <v>1</v>
      </c>
      <c r="O114" s="1">
        <v>-46.073999999999998</v>
      </c>
      <c r="P114" s="1">
        <v>5.6580000000000004</v>
      </c>
    </row>
    <row r="115" spans="14:16" x14ac:dyDescent="0.3">
      <c r="N115" s="32">
        <v>2</v>
      </c>
      <c r="O115" s="1">
        <v>-90</v>
      </c>
      <c r="P115" s="1">
        <v>5.8</v>
      </c>
    </row>
    <row r="116" spans="14:16" x14ac:dyDescent="0.3">
      <c r="N116" s="32">
        <v>3</v>
      </c>
      <c r="O116" s="1">
        <v>-120.24</v>
      </c>
      <c r="P116" s="1">
        <v>6.1059999999999999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1220-51F8-45F9-B1DC-618095620374}">
  <dimension ref="A1:AC117"/>
  <sheetViews>
    <sheetView topLeftCell="A94" zoomScaleNormal="100" workbookViewId="0">
      <selection activeCell="A109" sqref="A109:E117"/>
    </sheetView>
  </sheetViews>
  <sheetFormatPr defaultColWidth="8.77734375" defaultRowHeight="14.4" x14ac:dyDescent="0.3"/>
  <cols>
    <col min="1" max="1" width="13.77734375" customWidth="1"/>
    <col min="2" max="2" width="13.33203125" customWidth="1"/>
    <col min="4" max="4" width="10.44140625" customWidth="1"/>
    <col min="5" max="5" width="12.44140625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13" t="s">
        <v>3</v>
      </c>
      <c r="E1" s="1" t="s">
        <v>32</v>
      </c>
    </row>
    <row r="2" spans="1:25" x14ac:dyDescent="0.3">
      <c r="A2" s="2" t="s">
        <v>17</v>
      </c>
      <c r="B2" s="2">
        <v>1</v>
      </c>
      <c r="C2" s="2">
        <v>2</v>
      </c>
      <c r="D2" s="13">
        <v>3</v>
      </c>
      <c r="E2" s="1">
        <f>AVERAGE(I4:I6)</f>
        <v>3.1696666666666666</v>
      </c>
      <c r="G2" s="15" t="s">
        <v>10</v>
      </c>
      <c r="Q2" s="15" t="s">
        <v>30</v>
      </c>
    </row>
    <row r="3" spans="1:25" x14ac:dyDescent="0.3">
      <c r="A3" s="2" t="s">
        <v>17</v>
      </c>
      <c r="B3" s="2">
        <v>2</v>
      </c>
      <c r="C3" s="2">
        <v>2</v>
      </c>
      <c r="D3" s="13">
        <v>3</v>
      </c>
      <c r="E3" s="1">
        <f>AVERAGE(I8:I10)</f>
        <v>3.4606666666666666</v>
      </c>
      <c r="G3" s="1" t="s">
        <v>11</v>
      </c>
      <c r="H3" s="16" t="s">
        <v>5</v>
      </c>
      <c r="I3" s="17" t="s">
        <v>6</v>
      </c>
      <c r="J3" s="3" t="s">
        <v>18</v>
      </c>
      <c r="K3" s="16" t="s">
        <v>5</v>
      </c>
      <c r="L3" s="17" t="s">
        <v>6</v>
      </c>
      <c r="M3" s="19" t="s">
        <v>21</v>
      </c>
      <c r="N3" s="16" t="s">
        <v>5</v>
      </c>
      <c r="O3" s="16" t="s">
        <v>6</v>
      </c>
      <c r="Q3" s="1" t="s">
        <v>11</v>
      </c>
      <c r="R3" s="16" t="s">
        <v>5</v>
      </c>
      <c r="S3" s="17" t="s">
        <v>6</v>
      </c>
      <c r="T3" s="3" t="s">
        <v>18</v>
      </c>
      <c r="U3" s="16" t="s">
        <v>5</v>
      </c>
      <c r="V3" s="17" t="s">
        <v>6</v>
      </c>
      <c r="W3" s="19" t="s">
        <v>21</v>
      </c>
      <c r="X3" s="16" t="s">
        <v>5</v>
      </c>
      <c r="Y3" s="16" t="s">
        <v>6</v>
      </c>
    </row>
    <row r="4" spans="1:25" x14ac:dyDescent="0.3">
      <c r="A4" s="2" t="s">
        <v>17</v>
      </c>
      <c r="B4" s="2">
        <v>3</v>
      </c>
      <c r="C4" s="2">
        <v>2</v>
      </c>
      <c r="D4" s="13">
        <v>3</v>
      </c>
      <c r="E4" s="1">
        <f>AVERAGE(I12:I14)</f>
        <v>3.484</v>
      </c>
      <c r="G4" s="1">
        <v>1</v>
      </c>
      <c r="H4" s="1">
        <v>-39.575000000000003</v>
      </c>
      <c r="I4" s="18">
        <v>3.1259999999999999</v>
      </c>
      <c r="J4" s="3">
        <v>1</v>
      </c>
      <c r="K4" s="1">
        <v>-40.786000000000001</v>
      </c>
      <c r="L4" s="18">
        <v>3.3959999999999999</v>
      </c>
      <c r="M4" s="3">
        <v>1</v>
      </c>
      <c r="N4" s="1">
        <v>-40.014000000000003</v>
      </c>
      <c r="O4" s="1">
        <v>3.5249999999999999</v>
      </c>
      <c r="Q4" s="1">
        <v>1</v>
      </c>
      <c r="R4" s="1">
        <v>-50.32</v>
      </c>
      <c r="S4" s="18">
        <v>5.7039999999999997</v>
      </c>
      <c r="T4" s="3">
        <v>1</v>
      </c>
      <c r="U4" s="1">
        <v>-50.779000000000003</v>
      </c>
      <c r="V4" s="18">
        <v>5.5289999999999999</v>
      </c>
      <c r="W4" s="3">
        <v>1</v>
      </c>
      <c r="X4" s="1">
        <v>-48.106000000000002</v>
      </c>
      <c r="Y4" s="1">
        <v>6.2279999999999998</v>
      </c>
    </row>
    <row r="5" spans="1:25" x14ac:dyDescent="0.3">
      <c r="A5" s="2">
        <v>1260</v>
      </c>
      <c r="B5" s="2">
        <v>1</v>
      </c>
      <c r="C5" s="2">
        <v>2</v>
      </c>
      <c r="D5" s="13">
        <v>3</v>
      </c>
      <c r="E5" s="1">
        <f>AVERAGE(I16:I18)</f>
        <v>3.4576666666666664</v>
      </c>
      <c r="G5" s="1">
        <v>2</v>
      </c>
      <c r="H5" s="1">
        <v>-90</v>
      </c>
      <c r="I5" s="18">
        <v>3.0979999999999999</v>
      </c>
      <c r="J5" s="3">
        <v>2</v>
      </c>
      <c r="K5" s="1">
        <v>-90</v>
      </c>
      <c r="L5" s="18">
        <v>3.2269999999999999</v>
      </c>
      <c r="M5" s="3">
        <v>2</v>
      </c>
      <c r="N5" s="1">
        <v>-90</v>
      </c>
      <c r="O5" s="1">
        <v>3.133</v>
      </c>
      <c r="Q5" s="1">
        <v>2</v>
      </c>
      <c r="R5" s="1">
        <v>-90.864000000000004</v>
      </c>
      <c r="S5" s="18">
        <v>6.4720000000000004</v>
      </c>
      <c r="T5" s="3">
        <v>2</v>
      </c>
      <c r="U5" s="1">
        <v>-90.284999999999997</v>
      </c>
      <c r="V5" s="18">
        <v>6.3310000000000004</v>
      </c>
      <c r="W5" s="3">
        <v>2</v>
      </c>
      <c r="X5" s="1">
        <v>-90</v>
      </c>
      <c r="Y5" s="1">
        <v>6.2729999999999997</v>
      </c>
    </row>
    <row r="6" spans="1:25" x14ac:dyDescent="0.3">
      <c r="A6" s="2">
        <v>1260</v>
      </c>
      <c r="B6" s="2">
        <v>2</v>
      </c>
      <c r="C6" s="2">
        <v>2</v>
      </c>
      <c r="D6" s="13">
        <v>3</v>
      </c>
      <c r="E6" s="1">
        <f>AVERAGE(I20:I22)</f>
        <v>3.2730000000000001</v>
      </c>
      <c r="G6" s="1">
        <v>3</v>
      </c>
      <c r="H6" s="1">
        <v>-120.596</v>
      </c>
      <c r="I6" s="18">
        <v>3.2850000000000001</v>
      </c>
      <c r="J6" s="3">
        <v>3</v>
      </c>
      <c r="K6" s="1">
        <v>-120.40300000000001</v>
      </c>
      <c r="L6" s="18">
        <v>3.5369999999999999</v>
      </c>
      <c r="M6" s="3">
        <v>3</v>
      </c>
      <c r="N6" s="1">
        <v>-120.964</v>
      </c>
      <c r="O6" s="1">
        <v>3.3039999999999998</v>
      </c>
      <c r="Q6" s="1">
        <v>3</v>
      </c>
      <c r="R6" s="1">
        <v>-118.496</v>
      </c>
      <c r="S6" s="18">
        <v>6.476</v>
      </c>
      <c r="T6" s="3">
        <v>3</v>
      </c>
      <c r="U6" s="1">
        <v>-121.20399999999999</v>
      </c>
      <c r="V6" s="18">
        <v>6.444</v>
      </c>
      <c r="W6" s="3">
        <v>3</v>
      </c>
      <c r="X6" s="1">
        <v>-120.124</v>
      </c>
      <c r="Y6" s="1">
        <v>6.3849999999999998</v>
      </c>
    </row>
    <row r="7" spans="1:25" x14ac:dyDescent="0.3">
      <c r="A7" s="2">
        <v>1260</v>
      </c>
      <c r="B7" s="2">
        <v>3</v>
      </c>
      <c r="C7" s="2">
        <v>2</v>
      </c>
      <c r="D7" s="13">
        <v>3</v>
      </c>
      <c r="E7" s="1">
        <f>AVERAGE(I24:I26)</f>
        <v>3.419</v>
      </c>
      <c r="G7" s="1" t="s">
        <v>12</v>
      </c>
      <c r="H7" s="1"/>
      <c r="I7" s="18"/>
      <c r="J7" s="3" t="s">
        <v>19</v>
      </c>
      <c r="K7" s="1"/>
      <c r="L7" s="18"/>
      <c r="M7" s="3" t="s">
        <v>22</v>
      </c>
      <c r="N7" s="1"/>
      <c r="O7" s="1"/>
      <c r="Q7" s="1" t="s">
        <v>12</v>
      </c>
      <c r="R7" s="1"/>
      <c r="S7" s="18"/>
      <c r="T7" s="3" t="s">
        <v>19</v>
      </c>
      <c r="U7" s="1"/>
      <c r="V7" s="18"/>
      <c r="W7" s="3" t="s">
        <v>22</v>
      </c>
      <c r="X7" s="1"/>
      <c r="Y7" s="1"/>
    </row>
    <row r="8" spans="1:25" x14ac:dyDescent="0.3">
      <c r="A8" s="2">
        <v>1263</v>
      </c>
      <c r="B8" s="2">
        <v>1</v>
      </c>
      <c r="C8" s="2">
        <v>2</v>
      </c>
      <c r="D8" s="13">
        <v>3</v>
      </c>
      <c r="E8" s="1">
        <f>AVERAGE(L4:L6)</f>
        <v>3.3866666666666667</v>
      </c>
      <c r="G8" s="1">
        <v>1</v>
      </c>
      <c r="H8" s="1">
        <v>-39.945999999999998</v>
      </c>
      <c r="I8" s="18">
        <v>3.4209999999999998</v>
      </c>
      <c r="J8" s="3">
        <v>1</v>
      </c>
      <c r="K8" s="1">
        <v>-40.426000000000002</v>
      </c>
      <c r="L8" s="18">
        <v>3.577</v>
      </c>
      <c r="M8" s="3">
        <v>1</v>
      </c>
      <c r="N8" s="1">
        <v>-40.539000000000001</v>
      </c>
      <c r="O8" s="1">
        <v>3.3330000000000002</v>
      </c>
      <c r="Q8" s="1">
        <v>1</v>
      </c>
      <c r="R8" s="1">
        <v>-48.512</v>
      </c>
      <c r="S8" s="18">
        <v>6.3819999999999997</v>
      </c>
      <c r="T8" s="3">
        <v>1</v>
      </c>
      <c r="U8" s="1">
        <v>-48.058999999999997</v>
      </c>
      <c r="V8" s="18">
        <v>5.843</v>
      </c>
      <c r="W8" s="3">
        <v>1</v>
      </c>
      <c r="X8" s="1">
        <v>-52.164999999999999</v>
      </c>
      <c r="Y8" s="1">
        <v>5.6689999999999996</v>
      </c>
    </row>
    <row r="9" spans="1:25" x14ac:dyDescent="0.3">
      <c r="A9" s="2">
        <v>1263</v>
      </c>
      <c r="B9" s="2">
        <v>2</v>
      </c>
      <c r="C9" s="2">
        <v>2</v>
      </c>
      <c r="D9" s="13">
        <v>3</v>
      </c>
      <c r="E9" s="1">
        <f>AVERAGE(L8:L10)</f>
        <v>3.6709999999999998</v>
      </c>
      <c r="G9" s="1">
        <v>2</v>
      </c>
      <c r="H9" s="1">
        <v>-90</v>
      </c>
      <c r="I9" s="18">
        <v>3.508</v>
      </c>
      <c r="J9" s="3">
        <v>2</v>
      </c>
      <c r="K9" s="1">
        <v>-90</v>
      </c>
      <c r="L9" s="18">
        <v>3.605</v>
      </c>
      <c r="M9" s="3">
        <v>2</v>
      </c>
      <c r="N9" s="1">
        <v>-90</v>
      </c>
      <c r="O9" s="1">
        <v>3.5</v>
      </c>
      <c r="Q9" s="1">
        <v>2</v>
      </c>
      <c r="R9" s="1">
        <v>-90.811000000000007</v>
      </c>
      <c r="S9" s="18">
        <v>6.8949999999999996</v>
      </c>
      <c r="T9" s="3">
        <v>2</v>
      </c>
      <c r="U9" s="1">
        <v>-90.295000000000002</v>
      </c>
      <c r="V9" s="18">
        <v>6.11</v>
      </c>
      <c r="W9" s="3">
        <v>2</v>
      </c>
      <c r="X9" s="1">
        <v>-90.875</v>
      </c>
      <c r="Y9" s="1">
        <v>5.9550000000000001</v>
      </c>
    </row>
    <row r="10" spans="1:25" x14ac:dyDescent="0.3">
      <c r="A10" s="2">
        <v>1263</v>
      </c>
      <c r="B10" s="2">
        <v>3</v>
      </c>
      <c r="C10" s="2">
        <v>2</v>
      </c>
      <c r="D10" s="13">
        <v>3</v>
      </c>
      <c r="E10" s="1">
        <f>AVERAGE(L12:L14)</f>
        <v>3.563333333333333</v>
      </c>
      <c r="G10" s="1">
        <v>3</v>
      </c>
      <c r="H10" s="1">
        <v>-120.217</v>
      </c>
      <c r="I10" s="18">
        <v>3.4529999999999998</v>
      </c>
      <c r="J10" s="3">
        <v>3</v>
      </c>
      <c r="K10" s="1">
        <v>-120.446</v>
      </c>
      <c r="L10" s="18">
        <v>3.831</v>
      </c>
      <c r="M10" s="3">
        <v>3</v>
      </c>
      <c r="N10" s="1">
        <v>-120.76300000000001</v>
      </c>
      <c r="O10" s="1">
        <v>3.258</v>
      </c>
      <c r="Q10" s="1">
        <v>3</v>
      </c>
      <c r="R10" s="1">
        <v>-117.89700000000001</v>
      </c>
      <c r="S10" s="18">
        <v>6.8810000000000002</v>
      </c>
      <c r="T10" s="3">
        <v>3</v>
      </c>
      <c r="U10" s="1">
        <v>-119.029</v>
      </c>
      <c r="V10" s="18">
        <v>6.88</v>
      </c>
      <c r="W10" s="3">
        <v>3</v>
      </c>
      <c r="X10" s="1">
        <v>-120.002</v>
      </c>
      <c r="Y10" s="1">
        <v>6.2720000000000002</v>
      </c>
    </row>
    <row r="11" spans="1:25" x14ac:dyDescent="0.3">
      <c r="A11" s="2">
        <v>1264</v>
      </c>
      <c r="B11" s="2">
        <v>1</v>
      </c>
      <c r="C11" s="2">
        <v>2</v>
      </c>
      <c r="D11" s="13">
        <v>3</v>
      </c>
      <c r="E11" s="1">
        <f>AVERAGE(L16:L18)</f>
        <v>3.4553333333333334</v>
      </c>
      <c r="G11" s="1" t="s">
        <v>13</v>
      </c>
      <c r="H11" s="1"/>
      <c r="I11" s="18"/>
      <c r="J11" s="3" t="s">
        <v>20</v>
      </c>
      <c r="K11" s="1"/>
      <c r="L11" s="18"/>
      <c r="M11" s="3" t="s">
        <v>23</v>
      </c>
      <c r="N11" s="1"/>
      <c r="O11" s="1"/>
      <c r="Q11" s="1" t="s">
        <v>13</v>
      </c>
      <c r="R11" s="1"/>
      <c r="S11" s="18"/>
      <c r="T11" s="3" t="s">
        <v>20</v>
      </c>
      <c r="U11" s="1"/>
      <c r="V11" s="18"/>
      <c r="W11" s="3" t="s">
        <v>23</v>
      </c>
      <c r="X11" s="1"/>
      <c r="Y11" s="1"/>
    </row>
    <row r="12" spans="1:25" x14ac:dyDescent="0.3">
      <c r="A12" s="2">
        <v>1264</v>
      </c>
      <c r="B12" s="2">
        <v>2</v>
      </c>
      <c r="C12" s="2">
        <v>2</v>
      </c>
      <c r="D12" s="13">
        <v>3</v>
      </c>
      <c r="E12" s="1">
        <f>AVERAGE(L20:L22)</f>
        <v>3.3256666666666668</v>
      </c>
      <c r="G12" s="1">
        <v>1</v>
      </c>
      <c r="H12" s="1">
        <v>-40.165999999999997</v>
      </c>
      <c r="I12" s="18">
        <v>3.5070000000000001</v>
      </c>
      <c r="J12" s="3">
        <v>1</v>
      </c>
      <c r="K12" s="1">
        <v>-40.600999999999999</v>
      </c>
      <c r="L12" s="18">
        <v>3.0990000000000002</v>
      </c>
      <c r="M12" s="3">
        <v>1</v>
      </c>
      <c r="N12" s="1">
        <v>-40.206000000000003</v>
      </c>
      <c r="O12" s="1">
        <v>3.6659999999999999</v>
      </c>
      <c r="Q12" s="1">
        <v>1</v>
      </c>
      <c r="R12" s="1">
        <v>-51.250999999999998</v>
      </c>
      <c r="S12" s="18">
        <v>6.5469999999999997</v>
      </c>
      <c r="T12" s="3">
        <v>1</v>
      </c>
      <c r="U12" s="1">
        <v>-53.162999999999997</v>
      </c>
      <c r="V12" s="18">
        <v>5.49</v>
      </c>
      <c r="W12" s="3">
        <v>1</v>
      </c>
      <c r="X12" s="1">
        <v>-48.923000000000002</v>
      </c>
      <c r="Y12" s="1">
        <v>5.6379999999999999</v>
      </c>
    </row>
    <row r="13" spans="1:25" x14ac:dyDescent="0.3">
      <c r="A13" s="9">
        <v>1264</v>
      </c>
      <c r="B13" s="9">
        <v>3</v>
      </c>
      <c r="C13" s="2">
        <v>2</v>
      </c>
      <c r="D13" s="13">
        <v>3</v>
      </c>
      <c r="E13" s="1">
        <f>AVERAGE(L24:L26)</f>
        <v>3.4876666666666671</v>
      </c>
      <c r="G13" s="1">
        <v>2</v>
      </c>
      <c r="H13" s="1">
        <v>-90</v>
      </c>
      <c r="I13" s="18">
        <v>3.3690000000000002</v>
      </c>
      <c r="J13" s="3">
        <v>2</v>
      </c>
      <c r="K13" s="1">
        <v>-90</v>
      </c>
      <c r="L13" s="18">
        <v>3.63</v>
      </c>
      <c r="M13" s="3">
        <v>2</v>
      </c>
      <c r="N13" s="1">
        <v>-90</v>
      </c>
      <c r="O13" s="1">
        <v>3.6</v>
      </c>
      <c r="Q13" s="1">
        <v>2</v>
      </c>
      <c r="R13" s="1">
        <v>-90.938999999999993</v>
      </c>
      <c r="S13" s="18">
        <v>5.952</v>
      </c>
      <c r="T13" s="3">
        <v>2</v>
      </c>
      <c r="U13" s="1">
        <v>-90.620999999999995</v>
      </c>
      <c r="V13" s="18">
        <v>5.8109999999999999</v>
      </c>
      <c r="W13" s="3">
        <v>2</v>
      </c>
      <c r="X13" s="1">
        <v>-90.221000000000004</v>
      </c>
      <c r="Y13" s="1">
        <v>5.8860000000000001</v>
      </c>
    </row>
    <row r="14" spans="1:25" x14ac:dyDescent="0.3">
      <c r="A14" s="2">
        <v>1433</v>
      </c>
      <c r="B14" s="9">
        <v>1</v>
      </c>
      <c r="C14" s="2">
        <v>2</v>
      </c>
      <c r="D14" s="13">
        <v>3</v>
      </c>
      <c r="E14" s="1">
        <f>AVERAGE(O4:O6)</f>
        <v>3.3206666666666664</v>
      </c>
      <c r="G14" s="1">
        <v>3</v>
      </c>
      <c r="H14" s="1">
        <v>-121.504</v>
      </c>
      <c r="I14" s="18">
        <v>3.5760000000000001</v>
      </c>
      <c r="J14" s="3">
        <v>3</v>
      </c>
      <c r="K14" s="1">
        <v>-120.04600000000001</v>
      </c>
      <c r="L14" s="18">
        <v>3.9609999999999999</v>
      </c>
      <c r="M14" s="3">
        <v>3</v>
      </c>
      <c r="N14" s="1">
        <v>-40.539000000000001</v>
      </c>
      <c r="O14" s="1">
        <v>3.3330000000000002</v>
      </c>
      <c r="Q14" s="1">
        <v>3</v>
      </c>
      <c r="R14" s="1">
        <v>-121.88</v>
      </c>
      <c r="S14" s="18">
        <v>6.2809999999999997</v>
      </c>
      <c r="T14" s="3">
        <v>3</v>
      </c>
      <c r="U14" s="1">
        <v>-119.224</v>
      </c>
      <c r="V14" s="18">
        <v>6.2249999999999996</v>
      </c>
      <c r="W14" s="3">
        <v>3</v>
      </c>
      <c r="X14" s="1">
        <v>-122.258</v>
      </c>
      <c r="Y14" s="1">
        <v>6.5570000000000004</v>
      </c>
    </row>
    <row r="15" spans="1:25" x14ac:dyDescent="0.3">
      <c r="A15" s="2">
        <v>1433</v>
      </c>
      <c r="B15" s="2">
        <v>2</v>
      </c>
      <c r="C15" s="2">
        <v>2</v>
      </c>
      <c r="D15" s="13">
        <v>3</v>
      </c>
      <c r="E15" s="1">
        <f>AVERAGE(O8:O10)</f>
        <v>3.363666666666667</v>
      </c>
      <c r="G15" s="1" t="s">
        <v>26</v>
      </c>
      <c r="H15" s="21"/>
      <c r="I15" s="22"/>
      <c r="J15" s="3" t="s">
        <v>14</v>
      </c>
      <c r="K15" s="1"/>
      <c r="L15" s="18"/>
      <c r="M15" s="3" t="s">
        <v>33</v>
      </c>
      <c r="N15" s="1"/>
      <c r="O15" s="1"/>
      <c r="Q15" s="1" t="s">
        <v>26</v>
      </c>
      <c r="R15" s="1"/>
      <c r="S15" s="18"/>
      <c r="T15" s="3" t="s">
        <v>14</v>
      </c>
      <c r="U15" s="1"/>
      <c r="V15" s="18"/>
      <c r="W15" s="3" t="s">
        <v>33</v>
      </c>
      <c r="X15" s="1"/>
      <c r="Y15" s="1"/>
    </row>
    <row r="16" spans="1:25" x14ac:dyDescent="0.3">
      <c r="A16" s="2">
        <v>1433</v>
      </c>
      <c r="B16" s="2">
        <v>3</v>
      </c>
      <c r="C16" s="2">
        <v>2</v>
      </c>
      <c r="D16" s="13">
        <v>3</v>
      </c>
      <c r="E16" s="1">
        <f>AVERAGE(O12:O14)</f>
        <v>3.5329999999999999</v>
      </c>
      <c r="G16" s="20">
        <v>1</v>
      </c>
      <c r="H16" s="1">
        <v>-39.805999999999997</v>
      </c>
      <c r="I16" s="18">
        <v>3.4420000000000002</v>
      </c>
      <c r="J16" s="3">
        <v>1</v>
      </c>
      <c r="K16" s="1">
        <v>-40.786000000000001</v>
      </c>
      <c r="L16" s="18">
        <v>3.34</v>
      </c>
      <c r="M16" s="3">
        <v>1</v>
      </c>
      <c r="N16" s="1">
        <v>-40.600999999999999</v>
      </c>
      <c r="O16" s="1">
        <v>3.282</v>
      </c>
      <c r="Q16" s="1">
        <v>1</v>
      </c>
      <c r="R16" s="1">
        <v>-43.707999999999998</v>
      </c>
      <c r="S16" s="18">
        <v>5.7889999999999997</v>
      </c>
      <c r="T16" s="3">
        <v>1</v>
      </c>
      <c r="U16" s="1">
        <v>-45.448</v>
      </c>
      <c r="V16" s="18">
        <v>5.7930000000000001</v>
      </c>
      <c r="W16" s="3">
        <v>1</v>
      </c>
      <c r="X16" s="1">
        <v>-48.896000000000001</v>
      </c>
      <c r="Y16" s="1">
        <v>6.1790000000000003</v>
      </c>
    </row>
    <row r="17" spans="1:25" x14ac:dyDescent="0.3">
      <c r="A17" s="2" t="s">
        <v>31</v>
      </c>
      <c r="B17" s="9">
        <v>1</v>
      </c>
      <c r="C17" s="2">
        <v>2</v>
      </c>
      <c r="D17" s="13">
        <v>3</v>
      </c>
      <c r="E17" s="1">
        <f>AVERAGE(O16:O18)</f>
        <v>3.044</v>
      </c>
      <c r="G17" s="20">
        <v>2</v>
      </c>
      <c r="H17" s="1">
        <v>-90</v>
      </c>
      <c r="I17" s="18">
        <v>3.4239999999999999</v>
      </c>
      <c r="J17" s="3">
        <v>2</v>
      </c>
      <c r="K17" s="1">
        <v>-90</v>
      </c>
      <c r="L17" s="18">
        <v>3.4460000000000002</v>
      </c>
      <c r="M17" s="3">
        <v>2</v>
      </c>
      <c r="N17" s="1">
        <v>-90</v>
      </c>
      <c r="O17" s="1">
        <v>2.8980000000000001</v>
      </c>
      <c r="Q17" s="1">
        <v>2</v>
      </c>
      <c r="R17" s="1">
        <v>-90.637</v>
      </c>
      <c r="S17" s="18">
        <v>5.5389999999999997</v>
      </c>
      <c r="T17" s="3">
        <v>2</v>
      </c>
      <c r="U17" s="1">
        <v>-90</v>
      </c>
      <c r="V17" s="18">
        <v>5.7919999999999998</v>
      </c>
      <c r="W17" s="3">
        <v>2</v>
      </c>
      <c r="X17" s="1">
        <v>-90</v>
      </c>
      <c r="Y17" s="1">
        <v>5.6870000000000003</v>
      </c>
    </row>
    <row r="18" spans="1:25" x14ac:dyDescent="0.3">
      <c r="A18" s="2" t="s">
        <v>31</v>
      </c>
      <c r="B18" s="2">
        <v>2</v>
      </c>
      <c r="C18" s="2">
        <v>2</v>
      </c>
      <c r="D18" s="13">
        <v>3</v>
      </c>
      <c r="E18" s="1">
        <f>AVERAGE(O20:O22)</f>
        <v>3.2496666666666667</v>
      </c>
      <c r="G18" s="20">
        <v>3</v>
      </c>
      <c r="H18" s="1">
        <v>-119.539</v>
      </c>
      <c r="I18" s="18">
        <v>3.5070000000000001</v>
      </c>
      <c r="J18" s="3">
        <v>3</v>
      </c>
      <c r="K18" s="1">
        <v>-120.828</v>
      </c>
      <c r="L18" s="18">
        <v>3.58</v>
      </c>
      <c r="M18" s="3">
        <v>3</v>
      </c>
      <c r="N18" s="1">
        <v>-120.541</v>
      </c>
      <c r="O18" s="1">
        <v>2.952</v>
      </c>
      <c r="Q18" s="1">
        <v>3</v>
      </c>
      <c r="R18" s="1">
        <v>-120.056</v>
      </c>
      <c r="S18" s="18">
        <v>6.3280000000000003</v>
      </c>
      <c r="T18" s="3">
        <v>3</v>
      </c>
      <c r="U18" s="1">
        <v>-120.276</v>
      </c>
      <c r="V18" s="18">
        <v>6.8550000000000004</v>
      </c>
      <c r="W18" s="3">
        <v>3</v>
      </c>
      <c r="X18" s="1">
        <v>-119.85899999999999</v>
      </c>
      <c r="Y18" s="1">
        <v>5.8369999999999997</v>
      </c>
    </row>
    <row r="19" spans="1:25" x14ac:dyDescent="0.3">
      <c r="A19" s="2" t="s">
        <v>31</v>
      </c>
      <c r="B19" s="2">
        <v>3</v>
      </c>
      <c r="C19" s="2">
        <v>2</v>
      </c>
      <c r="D19" s="13">
        <v>3</v>
      </c>
      <c r="E19" s="1">
        <f>AVERAGE(O24:O26)</f>
        <v>3.3006666666666664</v>
      </c>
      <c r="G19" s="20" t="s">
        <v>8</v>
      </c>
      <c r="H19" s="1"/>
      <c r="I19" s="18"/>
      <c r="J19" s="3" t="s">
        <v>15</v>
      </c>
      <c r="K19" s="1"/>
      <c r="L19" s="18"/>
      <c r="M19" s="3" t="s">
        <v>34</v>
      </c>
      <c r="N19" s="1"/>
      <c r="O19" s="1"/>
      <c r="Q19" s="1" t="s">
        <v>8</v>
      </c>
      <c r="R19" s="1"/>
      <c r="S19" s="18"/>
      <c r="T19" s="3" t="s">
        <v>15</v>
      </c>
      <c r="U19" s="1"/>
      <c r="V19" s="18"/>
      <c r="W19" s="3" t="s">
        <v>34</v>
      </c>
      <c r="X19" s="1"/>
      <c r="Y19" s="1"/>
    </row>
    <row r="20" spans="1:25" x14ac:dyDescent="0.3">
      <c r="A20" s="10"/>
      <c r="B20" s="10"/>
      <c r="C20" s="10"/>
      <c r="D20" s="10"/>
      <c r="E20" s="14"/>
      <c r="G20" s="20">
        <v>1</v>
      </c>
      <c r="H20" s="1">
        <v>-40.600999999999999</v>
      </c>
      <c r="I20" s="18">
        <v>3.125</v>
      </c>
      <c r="J20" s="3">
        <v>1</v>
      </c>
      <c r="K20" s="1">
        <v>-41.009</v>
      </c>
      <c r="L20" s="18">
        <v>3.0230000000000001</v>
      </c>
      <c r="M20" s="3">
        <v>1</v>
      </c>
      <c r="N20" s="1">
        <v>-40.100999999999999</v>
      </c>
      <c r="O20" s="1">
        <v>3.1579999999999999</v>
      </c>
      <c r="Q20" s="1">
        <v>1</v>
      </c>
      <c r="R20" s="1">
        <v>-50.890999999999998</v>
      </c>
      <c r="S20" s="18">
        <v>5.5119999999999996</v>
      </c>
      <c r="T20" s="3">
        <v>1</v>
      </c>
      <c r="U20" s="1">
        <v>-46.720999999999997</v>
      </c>
      <c r="V20" s="18">
        <v>5.2750000000000004</v>
      </c>
      <c r="W20" s="3">
        <v>1</v>
      </c>
      <c r="X20" s="1">
        <v>-50.44</v>
      </c>
      <c r="Y20" s="1">
        <v>5.5940000000000003</v>
      </c>
    </row>
    <row r="21" spans="1:25" x14ac:dyDescent="0.3">
      <c r="A21" s="2" t="s">
        <v>0</v>
      </c>
      <c r="B21" s="2" t="s">
        <v>1</v>
      </c>
      <c r="C21" s="2" t="s">
        <v>2</v>
      </c>
      <c r="D21" s="2" t="s">
        <v>3</v>
      </c>
      <c r="E21" s="1"/>
      <c r="G21" s="20">
        <v>2</v>
      </c>
      <c r="H21" s="1">
        <v>-90</v>
      </c>
      <c r="I21" s="18">
        <v>3.153</v>
      </c>
      <c r="J21" s="3">
        <v>2</v>
      </c>
      <c r="K21" s="1">
        <v>-90</v>
      </c>
      <c r="L21" s="18">
        <v>3.62</v>
      </c>
      <c r="M21" s="3">
        <v>2</v>
      </c>
      <c r="N21" s="1">
        <v>-90</v>
      </c>
      <c r="O21" s="1">
        <v>3.2290000000000001</v>
      </c>
      <c r="Q21" s="1">
        <v>2</v>
      </c>
      <c r="R21" s="1">
        <v>-90.992999999999995</v>
      </c>
      <c r="S21" s="18">
        <v>5.3239999999999998</v>
      </c>
      <c r="T21" s="3">
        <v>2</v>
      </c>
      <c r="U21" s="1">
        <v>-90</v>
      </c>
      <c r="V21" s="18">
        <v>5.4720000000000004</v>
      </c>
      <c r="W21" s="3">
        <v>2</v>
      </c>
      <c r="X21" s="1">
        <v>-90</v>
      </c>
      <c r="Y21" s="1">
        <v>5.5620000000000003</v>
      </c>
    </row>
    <row r="22" spans="1:25" x14ac:dyDescent="0.3">
      <c r="A22" s="2" t="s">
        <v>17</v>
      </c>
      <c r="B22" s="2">
        <v>1</v>
      </c>
      <c r="C22" s="2">
        <v>2</v>
      </c>
      <c r="D22" s="13">
        <v>4</v>
      </c>
      <c r="E22" s="1">
        <f>AVERAGE(I30:I32)</f>
        <v>4.3976666666666668</v>
      </c>
      <c r="G22" s="20">
        <v>3</v>
      </c>
      <c r="H22" s="1">
        <v>-120.49299999999999</v>
      </c>
      <c r="I22" s="18">
        <v>3.5409999999999999</v>
      </c>
      <c r="J22" s="3">
        <v>3</v>
      </c>
      <c r="K22" s="1">
        <v>-120.379</v>
      </c>
      <c r="L22" s="18">
        <v>3.3340000000000001</v>
      </c>
      <c r="M22" s="3">
        <v>3</v>
      </c>
      <c r="N22" s="1">
        <v>-120.444</v>
      </c>
      <c r="O22" s="1">
        <v>3.3620000000000001</v>
      </c>
      <c r="Q22" s="1">
        <v>3</v>
      </c>
      <c r="R22" s="1">
        <v>-120.343</v>
      </c>
      <c r="S22" s="18">
        <v>5.8470000000000004</v>
      </c>
      <c r="T22" s="3">
        <v>3</v>
      </c>
      <c r="U22" s="1">
        <v>-120.38800000000001</v>
      </c>
      <c r="V22" s="18">
        <v>6.01</v>
      </c>
      <c r="W22" s="3">
        <v>3</v>
      </c>
      <c r="X22" s="1">
        <v>-120.124</v>
      </c>
      <c r="Y22" s="1">
        <v>5.8529999999999998</v>
      </c>
    </row>
    <row r="23" spans="1:25" x14ac:dyDescent="0.3">
      <c r="A23" s="2" t="s">
        <v>17</v>
      </c>
      <c r="B23" s="2">
        <v>2</v>
      </c>
      <c r="C23" s="2">
        <v>2</v>
      </c>
      <c r="D23" s="13">
        <v>4</v>
      </c>
      <c r="E23" s="1">
        <f>AVERAGE(I34:I36)</f>
        <v>4.8926666666666669</v>
      </c>
      <c r="G23" s="20" t="s">
        <v>9</v>
      </c>
      <c r="H23" s="1"/>
      <c r="I23" s="18"/>
      <c r="J23" s="3" t="s">
        <v>16</v>
      </c>
      <c r="K23" s="1"/>
      <c r="L23" s="18"/>
      <c r="M23" s="3" t="s">
        <v>35</v>
      </c>
      <c r="N23" s="1"/>
      <c r="O23" s="1"/>
      <c r="Q23" s="1" t="s">
        <v>9</v>
      </c>
      <c r="R23" s="1"/>
      <c r="S23" s="18"/>
      <c r="T23" s="3" t="s">
        <v>16</v>
      </c>
      <c r="U23" s="1"/>
      <c r="V23" s="18"/>
      <c r="W23" s="3" t="s">
        <v>35</v>
      </c>
      <c r="X23" s="1"/>
      <c r="Y23" s="1"/>
    </row>
    <row r="24" spans="1:25" x14ac:dyDescent="0.3">
      <c r="A24" s="2" t="s">
        <v>17</v>
      </c>
      <c r="B24" s="2">
        <v>3</v>
      </c>
      <c r="C24" s="2">
        <v>2</v>
      </c>
      <c r="D24" s="13">
        <v>4</v>
      </c>
      <c r="E24" s="1">
        <f>AVERAGE(I38:I40)</f>
        <v>4.9173333333333344</v>
      </c>
      <c r="G24" s="20">
        <v>1</v>
      </c>
      <c r="H24" s="1">
        <v>-40.17</v>
      </c>
      <c r="I24" s="18">
        <v>3.4159999999999999</v>
      </c>
      <c r="J24" s="3">
        <v>1</v>
      </c>
      <c r="K24" s="1">
        <v>-40.515000000000001</v>
      </c>
      <c r="L24" s="18">
        <v>3.5870000000000002</v>
      </c>
      <c r="M24" s="3">
        <v>1</v>
      </c>
      <c r="N24" s="1">
        <v>-45</v>
      </c>
      <c r="O24" s="1">
        <v>3.4159999999999999</v>
      </c>
      <c r="Q24" s="1">
        <v>1</v>
      </c>
      <c r="R24" s="1">
        <v>-90.337000000000003</v>
      </c>
      <c r="S24" s="18">
        <v>5.2309999999999999</v>
      </c>
      <c r="T24" s="3">
        <v>1</v>
      </c>
      <c r="U24" s="1">
        <v>-49.289000000000001</v>
      </c>
      <c r="V24" s="18">
        <v>5.4459999999999997</v>
      </c>
      <c r="W24" s="3">
        <v>1</v>
      </c>
      <c r="X24" s="1">
        <v>-44.758000000000003</v>
      </c>
      <c r="Y24" s="1">
        <v>5.2370000000000001</v>
      </c>
    </row>
    <row r="25" spans="1:25" x14ac:dyDescent="0.3">
      <c r="A25" s="2">
        <v>1260</v>
      </c>
      <c r="B25" s="2">
        <v>1</v>
      </c>
      <c r="C25" s="2">
        <v>2</v>
      </c>
      <c r="D25" s="13">
        <v>4</v>
      </c>
      <c r="E25" s="1">
        <f>AVERAGE(I42:I44)</f>
        <v>4.4486666666666661</v>
      </c>
      <c r="G25" s="20">
        <v>2</v>
      </c>
      <c r="H25" s="1">
        <v>-90</v>
      </c>
      <c r="I25" s="18">
        <v>3.254</v>
      </c>
      <c r="J25" s="3">
        <v>2</v>
      </c>
      <c r="K25" s="1">
        <v>-90</v>
      </c>
      <c r="L25" s="18">
        <v>3.5209999999999999</v>
      </c>
      <c r="M25" s="3">
        <v>2</v>
      </c>
      <c r="N25" s="1">
        <v>-90</v>
      </c>
      <c r="O25" s="1">
        <v>3.2029999999999998</v>
      </c>
      <c r="Q25" s="1">
        <v>2</v>
      </c>
      <c r="R25" s="1">
        <v>-48.698</v>
      </c>
      <c r="S25" s="18">
        <v>5.7409999999999997</v>
      </c>
      <c r="T25" s="3">
        <v>2</v>
      </c>
      <c r="U25" s="1">
        <v>-90</v>
      </c>
      <c r="V25" s="18">
        <v>5.6319999999999997</v>
      </c>
      <c r="W25" s="3">
        <v>2</v>
      </c>
      <c r="X25" s="1">
        <v>-90</v>
      </c>
      <c r="Y25" s="1">
        <v>5.5940000000000003</v>
      </c>
    </row>
    <row r="26" spans="1:25" x14ac:dyDescent="0.3">
      <c r="A26" s="2">
        <v>1260</v>
      </c>
      <c r="B26" s="2">
        <v>2</v>
      </c>
      <c r="C26" s="2">
        <v>2</v>
      </c>
      <c r="D26" s="13">
        <v>4</v>
      </c>
      <c r="E26" s="1">
        <f>AVERAGE(I46:I48)</f>
        <v>4.6040000000000001</v>
      </c>
      <c r="G26" s="20">
        <v>3</v>
      </c>
      <c r="H26" s="1">
        <v>-120.685</v>
      </c>
      <c r="I26" s="22">
        <v>3.5870000000000002</v>
      </c>
      <c r="J26" s="3">
        <v>3</v>
      </c>
      <c r="K26" s="1">
        <v>-120.16500000000001</v>
      </c>
      <c r="L26" s="18">
        <v>3.355</v>
      </c>
      <c r="M26" s="3">
        <v>3</v>
      </c>
      <c r="N26" s="1">
        <v>-120.735</v>
      </c>
      <c r="O26" s="1">
        <v>3.2829999999999999</v>
      </c>
      <c r="Q26" s="1">
        <v>3</v>
      </c>
      <c r="R26" s="1">
        <v>-120.964</v>
      </c>
      <c r="S26" s="18">
        <v>5.734</v>
      </c>
      <c r="T26" s="3">
        <v>3</v>
      </c>
      <c r="U26" s="1">
        <v>-120.867</v>
      </c>
      <c r="V26" s="18">
        <v>6.4870000000000001</v>
      </c>
      <c r="W26" s="3">
        <v>3</v>
      </c>
      <c r="X26" s="1">
        <v>-119.745</v>
      </c>
      <c r="Y26" s="1">
        <v>6.0469999999999997</v>
      </c>
    </row>
    <row r="27" spans="1:25" x14ac:dyDescent="0.3">
      <c r="A27" s="2">
        <v>1260</v>
      </c>
      <c r="B27" s="2">
        <v>3</v>
      </c>
      <c r="C27" s="2">
        <v>2</v>
      </c>
      <c r="D27" s="13">
        <v>4</v>
      </c>
      <c r="E27" s="1">
        <f>AVERAGE(I50:I52)</f>
        <v>4.9776666666666669</v>
      </c>
    </row>
    <row r="28" spans="1:25" x14ac:dyDescent="0.3">
      <c r="A28" s="2">
        <v>1263</v>
      </c>
      <c r="B28" s="2">
        <v>1</v>
      </c>
      <c r="C28" s="2">
        <v>2</v>
      </c>
      <c r="D28" s="13">
        <v>4</v>
      </c>
      <c r="E28" s="1">
        <f>AVERAGE(L30:L32)</f>
        <v>4.9296666666666669</v>
      </c>
      <c r="G28" s="15" t="s">
        <v>24</v>
      </c>
      <c r="Q28" s="15" t="s">
        <v>36</v>
      </c>
    </row>
    <row r="29" spans="1:25" x14ac:dyDescent="0.3">
      <c r="A29" s="2">
        <v>1263</v>
      </c>
      <c r="B29" s="2">
        <v>2</v>
      </c>
      <c r="C29" s="2">
        <v>2</v>
      </c>
      <c r="D29" s="13">
        <v>4</v>
      </c>
      <c r="E29" s="1">
        <f>AVERAGE(L34:L36)</f>
        <v>5.126666666666666</v>
      </c>
      <c r="G29" s="1" t="s">
        <v>11</v>
      </c>
      <c r="H29" s="16" t="s">
        <v>5</v>
      </c>
      <c r="I29" s="17" t="s">
        <v>6</v>
      </c>
      <c r="J29" s="3" t="s">
        <v>18</v>
      </c>
      <c r="K29" s="16" t="s">
        <v>5</v>
      </c>
      <c r="L29" s="17" t="s">
        <v>6</v>
      </c>
      <c r="M29" s="19" t="s">
        <v>21</v>
      </c>
      <c r="N29" s="16" t="s">
        <v>5</v>
      </c>
      <c r="O29" s="16" t="s">
        <v>6</v>
      </c>
      <c r="Q29" s="21" t="s">
        <v>11</v>
      </c>
      <c r="R29" s="23" t="s">
        <v>5</v>
      </c>
      <c r="S29" s="24" t="s">
        <v>6</v>
      </c>
      <c r="T29" s="25" t="s">
        <v>18</v>
      </c>
      <c r="U29" s="23" t="s">
        <v>5</v>
      </c>
      <c r="V29" s="24" t="s">
        <v>6</v>
      </c>
      <c r="W29" s="26" t="s">
        <v>21</v>
      </c>
      <c r="X29" s="23" t="s">
        <v>5</v>
      </c>
      <c r="Y29" s="23" t="s">
        <v>6</v>
      </c>
    </row>
    <row r="30" spans="1:25" x14ac:dyDescent="0.3">
      <c r="A30" s="2">
        <v>1263</v>
      </c>
      <c r="B30" s="2">
        <v>3</v>
      </c>
      <c r="C30" s="2">
        <v>2</v>
      </c>
      <c r="D30" s="13">
        <v>4</v>
      </c>
      <c r="E30" s="1">
        <f>AVERAGE(L38:L40)</f>
        <v>4.8886666666666665</v>
      </c>
      <c r="G30" s="1">
        <v>1</v>
      </c>
      <c r="H30" s="1">
        <v>-39.56</v>
      </c>
      <c r="I30" s="18">
        <v>4.3</v>
      </c>
      <c r="J30" s="3">
        <v>1</v>
      </c>
      <c r="K30" s="1">
        <v>-40.752000000000002</v>
      </c>
      <c r="L30" s="18">
        <v>4.5960000000000001</v>
      </c>
      <c r="M30" s="3">
        <v>1</v>
      </c>
      <c r="N30" s="1">
        <v>-40.351999999999997</v>
      </c>
      <c r="O30" s="1">
        <v>4.8479999999999999</v>
      </c>
      <c r="Q30" s="1">
        <v>1</v>
      </c>
      <c r="R30" s="1">
        <v>-56.404000000000003</v>
      </c>
      <c r="S30" s="18">
        <v>5.4660000000000002</v>
      </c>
      <c r="T30" s="3">
        <v>1</v>
      </c>
      <c r="U30" s="1">
        <v>-43.543999999999997</v>
      </c>
      <c r="V30" s="18">
        <v>5.4290000000000003</v>
      </c>
      <c r="W30" s="3">
        <v>1</v>
      </c>
      <c r="X30" s="1">
        <v>-45.95</v>
      </c>
      <c r="Y30" s="1">
        <v>6.1440000000000001</v>
      </c>
    </row>
    <row r="31" spans="1:25" x14ac:dyDescent="0.3">
      <c r="A31" s="9">
        <v>1264</v>
      </c>
      <c r="B31" s="9">
        <v>1</v>
      </c>
      <c r="C31" s="2">
        <v>2</v>
      </c>
      <c r="D31" s="13">
        <v>4</v>
      </c>
      <c r="E31" s="1">
        <f>AVERAGE(L42:L44)</f>
        <v>4.9143333333333326</v>
      </c>
      <c r="G31" s="1">
        <v>2</v>
      </c>
      <c r="H31" s="1">
        <v>-90</v>
      </c>
      <c r="I31" s="18">
        <v>4.468</v>
      </c>
      <c r="J31" s="3">
        <v>2</v>
      </c>
      <c r="K31" s="1">
        <v>-90</v>
      </c>
      <c r="L31" s="18">
        <v>5.1109999999999998</v>
      </c>
      <c r="M31" s="3">
        <v>2</v>
      </c>
      <c r="N31" s="1">
        <v>-90</v>
      </c>
      <c r="O31" s="1">
        <v>4.5830000000000002</v>
      </c>
      <c r="Q31" s="1">
        <v>2</v>
      </c>
      <c r="R31" s="1">
        <v>-90</v>
      </c>
      <c r="S31" s="18">
        <v>6.992</v>
      </c>
      <c r="T31" s="3">
        <v>2</v>
      </c>
      <c r="U31" s="1">
        <v>-90</v>
      </c>
      <c r="V31" s="18">
        <v>6.3410000000000002</v>
      </c>
      <c r="W31" s="3">
        <v>2</v>
      </c>
      <c r="X31" s="1">
        <v>-90</v>
      </c>
      <c r="Y31" s="1">
        <v>6.3840000000000003</v>
      </c>
    </row>
    <row r="32" spans="1:25" x14ac:dyDescent="0.3">
      <c r="A32" s="9">
        <v>1264</v>
      </c>
      <c r="B32" s="9">
        <v>2</v>
      </c>
      <c r="C32" s="2">
        <v>2</v>
      </c>
      <c r="D32" s="13">
        <v>4</v>
      </c>
      <c r="E32" s="1">
        <f>AVERAGE(L46:L48)</f>
        <v>4.6310000000000002</v>
      </c>
      <c r="G32" s="1">
        <v>3</v>
      </c>
      <c r="H32" s="1">
        <v>-120.324</v>
      </c>
      <c r="I32" s="18">
        <v>4.4249999999999998</v>
      </c>
      <c r="J32" s="3">
        <v>3</v>
      </c>
      <c r="K32" s="1">
        <v>-120.67700000000001</v>
      </c>
      <c r="L32" s="18">
        <v>5.0819999999999999</v>
      </c>
      <c r="M32" s="3">
        <v>3</v>
      </c>
      <c r="N32" s="1">
        <v>-120.66200000000001</v>
      </c>
      <c r="O32" s="1">
        <v>4.5209999999999999</v>
      </c>
      <c r="Q32" s="1">
        <v>3</v>
      </c>
      <c r="R32" s="1">
        <v>-120.023</v>
      </c>
      <c r="S32" s="18">
        <v>7.4740000000000002</v>
      </c>
      <c r="T32" s="3">
        <v>3</v>
      </c>
      <c r="U32" s="1">
        <v>-120.559</v>
      </c>
      <c r="V32" s="18">
        <v>7.1</v>
      </c>
      <c r="W32" s="3">
        <v>3</v>
      </c>
      <c r="X32" s="1">
        <v>-120.02200000000001</v>
      </c>
      <c r="Y32" s="1">
        <v>6.7629999999999999</v>
      </c>
    </row>
    <row r="33" spans="1:29" x14ac:dyDescent="0.3">
      <c r="A33" s="9">
        <v>1264</v>
      </c>
      <c r="B33" s="9">
        <v>3</v>
      </c>
      <c r="C33" s="2">
        <v>2</v>
      </c>
      <c r="D33" s="13">
        <v>4</v>
      </c>
      <c r="E33" s="1">
        <f>AVERAGE(L50:L52)</f>
        <v>4.6303333333333336</v>
      </c>
      <c r="G33" s="1" t="s">
        <v>12</v>
      </c>
      <c r="H33" s="1"/>
      <c r="I33" s="18"/>
      <c r="J33" s="3" t="s">
        <v>19</v>
      </c>
      <c r="K33" s="1"/>
      <c r="L33" s="18"/>
      <c r="M33" s="3" t="s">
        <v>22</v>
      </c>
      <c r="N33" s="1"/>
      <c r="O33" s="1"/>
      <c r="Q33" s="1" t="s">
        <v>12</v>
      </c>
      <c r="R33" s="1"/>
      <c r="S33" s="18"/>
      <c r="T33" s="3" t="s">
        <v>19</v>
      </c>
      <c r="U33" s="1"/>
      <c r="V33" s="18"/>
      <c r="W33" s="3" t="s">
        <v>22</v>
      </c>
      <c r="X33" s="1"/>
      <c r="Y33" s="1"/>
    </row>
    <row r="34" spans="1:29" x14ac:dyDescent="0.3">
      <c r="A34" s="2">
        <v>1433</v>
      </c>
      <c r="B34" s="9">
        <v>1</v>
      </c>
      <c r="C34" s="2">
        <v>2</v>
      </c>
      <c r="D34" s="13">
        <v>4</v>
      </c>
      <c r="E34" s="1">
        <f>AVERAGE(O30:O32)</f>
        <v>4.6506666666666669</v>
      </c>
      <c r="G34" s="1">
        <v>1</v>
      </c>
      <c r="H34" s="1">
        <v>-47.055999999999997</v>
      </c>
      <c r="I34" s="18">
        <v>4.9720000000000004</v>
      </c>
      <c r="J34" s="3">
        <v>1</v>
      </c>
      <c r="K34" s="1">
        <v>-40.134999999999998</v>
      </c>
      <c r="L34" s="18">
        <v>4.9409999999999998</v>
      </c>
      <c r="M34" s="3">
        <v>1</v>
      </c>
      <c r="N34" s="1">
        <v>-41.76</v>
      </c>
      <c r="O34" s="1">
        <v>5.2130000000000001</v>
      </c>
      <c r="Q34" s="1">
        <v>1</v>
      </c>
      <c r="R34" s="1">
        <v>-53.372</v>
      </c>
      <c r="S34" s="18">
        <v>6.1589999999999998</v>
      </c>
      <c r="T34" s="3">
        <v>1</v>
      </c>
      <c r="U34" s="1">
        <v>-44.774999999999999</v>
      </c>
      <c r="V34" s="18">
        <v>5.8639999999999999</v>
      </c>
      <c r="W34" s="3">
        <v>1</v>
      </c>
      <c r="X34" s="1">
        <v>-44.49</v>
      </c>
      <c r="Y34" s="1">
        <v>5.7190000000000003</v>
      </c>
      <c r="AC34" s="6"/>
    </row>
    <row r="35" spans="1:29" x14ac:dyDescent="0.3">
      <c r="A35" s="2">
        <v>1433</v>
      </c>
      <c r="B35" s="2">
        <v>2</v>
      </c>
      <c r="C35" s="2">
        <v>2</v>
      </c>
      <c r="D35" s="13">
        <v>4</v>
      </c>
      <c r="E35" s="1">
        <f>AVERAGE(O34:O36)</f>
        <v>5.0169999999999995</v>
      </c>
      <c r="G35" s="1">
        <v>2</v>
      </c>
      <c r="H35" s="1">
        <v>-90</v>
      </c>
      <c r="I35" s="18">
        <v>4.8289999999999997</v>
      </c>
      <c r="J35" s="3">
        <v>2</v>
      </c>
      <c r="K35" s="1">
        <v>-90</v>
      </c>
      <c r="L35" s="18">
        <v>4.9630000000000001</v>
      </c>
      <c r="M35" s="3">
        <v>2</v>
      </c>
      <c r="N35" s="1">
        <v>-90</v>
      </c>
      <c r="O35" s="1">
        <v>4.9169999999999998</v>
      </c>
      <c r="Q35" s="1">
        <v>2</v>
      </c>
      <c r="R35" s="1">
        <v>-90</v>
      </c>
      <c r="S35" s="18">
        <v>7.8049999999999997</v>
      </c>
      <c r="T35" s="3">
        <v>2</v>
      </c>
      <c r="U35" s="1">
        <v>-90.302999999999997</v>
      </c>
      <c r="V35" s="18">
        <v>6.1459999999999999</v>
      </c>
      <c r="W35" s="3">
        <v>2</v>
      </c>
      <c r="X35" s="1">
        <v>-90</v>
      </c>
      <c r="Y35" s="1">
        <v>6.024</v>
      </c>
    </row>
    <row r="36" spans="1:29" x14ac:dyDescent="0.3">
      <c r="A36" s="2">
        <v>1433</v>
      </c>
      <c r="B36" s="2">
        <v>3</v>
      </c>
      <c r="C36" s="2">
        <v>2</v>
      </c>
      <c r="D36" s="13">
        <v>4</v>
      </c>
      <c r="E36" s="1">
        <f>AVERAGE(O38:O40)</f>
        <v>5.3489999999999993</v>
      </c>
      <c r="G36" s="1">
        <v>3</v>
      </c>
      <c r="H36" s="1">
        <v>-120.16500000000001</v>
      </c>
      <c r="I36" s="18">
        <v>4.8769999999999998</v>
      </c>
      <c r="J36" s="3">
        <v>3</v>
      </c>
      <c r="K36" s="1">
        <v>-120.033</v>
      </c>
      <c r="L36" s="18">
        <v>5.476</v>
      </c>
      <c r="M36" s="3">
        <v>3</v>
      </c>
      <c r="N36" s="1">
        <v>-120.908</v>
      </c>
      <c r="O36" s="1">
        <v>4.9210000000000003</v>
      </c>
      <c r="Q36" s="1">
        <v>3</v>
      </c>
      <c r="R36" s="1">
        <v>-120.44</v>
      </c>
      <c r="S36" s="18">
        <v>7.3179999999999996</v>
      </c>
      <c r="T36" s="3">
        <v>3</v>
      </c>
      <c r="U36" s="1">
        <v>-119.19</v>
      </c>
      <c r="V36" s="18">
        <v>6.6680000000000001</v>
      </c>
      <c r="W36" s="3">
        <v>3</v>
      </c>
      <c r="X36" s="1">
        <v>-118.45</v>
      </c>
      <c r="Y36" s="1">
        <v>6.851</v>
      </c>
    </row>
    <row r="37" spans="1:29" x14ac:dyDescent="0.3">
      <c r="A37" s="2" t="s">
        <v>31</v>
      </c>
      <c r="B37" s="9">
        <v>1</v>
      </c>
      <c r="C37" s="2">
        <v>2</v>
      </c>
      <c r="D37" s="13">
        <v>4</v>
      </c>
      <c r="E37" s="1">
        <f>AVERAGE(O42:O44)</f>
        <v>4.3049999999999997</v>
      </c>
      <c r="G37" s="1" t="s">
        <v>13</v>
      </c>
      <c r="H37" s="1"/>
      <c r="I37" s="18"/>
      <c r="J37" s="3" t="s">
        <v>20</v>
      </c>
      <c r="K37" s="1"/>
      <c r="L37" s="18"/>
      <c r="M37" s="3" t="s">
        <v>23</v>
      </c>
      <c r="N37" s="1"/>
      <c r="O37" s="1"/>
      <c r="Q37" s="1" t="s">
        <v>13</v>
      </c>
      <c r="R37" s="1"/>
      <c r="S37" s="18"/>
      <c r="T37" s="3" t="s">
        <v>20</v>
      </c>
      <c r="U37" s="1"/>
      <c r="V37" s="18"/>
      <c r="W37" s="3" t="s">
        <v>23</v>
      </c>
      <c r="X37" s="1"/>
      <c r="Y37" s="1"/>
    </row>
    <row r="38" spans="1:29" x14ac:dyDescent="0.3">
      <c r="A38" s="2" t="s">
        <v>31</v>
      </c>
      <c r="B38" s="2">
        <v>2</v>
      </c>
      <c r="C38" s="2">
        <v>2</v>
      </c>
      <c r="D38" s="13">
        <v>4</v>
      </c>
      <c r="E38" s="1">
        <f>AVERAGE(O46:O48)</f>
        <v>4.3626666666666667</v>
      </c>
      <c r="G38" s="1">
        <v>1</v>
      </c>
      <c r="H38" s="1">
        <v>-44.69</v>
      </c>
      <c r="I38" s="18">
        <v>4.7140000000000004</v>
      </c>
      <c r="J38" s="3">
        <v>1</v>
      </c>
      <c r="K38" s="1">
        <v>-49.02</v>
      </c>
      <c r="L38" s="18">
        <v>4.8570000000000002</v>
      </c>
      <c r="M38" s="3">
        <v>1</v>
      </c>
      <c r="N38" s="1">
        <v>-43.716999999999999</v>
      </c>
      <c r="O38" s="1">
        <v>5.2649999999999997</v>
      </c>
      <c r="Q38" s="1">
        <v>1</v>
      </c>
      <c r="R38" s="1">
        <v>-56.923000000000002</v>
      </c>
      <c r="S38" s="18">
        <v>5.899</v>
      </c>
      <c r="T38" s="3">
        <v>1</v>
      </c>
      <c r="U38" s="1">
        <v>-50.237000000000002</v>
      </c>
      <c r="V38" s="18">
        <v>5.5419999999999998</v>
      </c>
      <c r="W38" s="3">
        <v>1</v>
      </c>
      <c r="X38" s="1">
        <v>-44.49</v>
      </c>
      <c r="Y38" s="1">
        <v>5.7190000000000003</v>
      </c>
    </row>
    <row r="39" spans="1:29" x14ac:dyDescent="0.3">
      <c r="A39" s="2" t="s">
        <v>31</v>
      </c>
      <c r="B39" s="2">
        <v>3</v>
      </c>
      <c r="C39" s="2">
        <v>2</v>
      </c>
      <c r="D39" s="13">
        <v>4</v>
      </c>
      <c r="E39" s="1">
        <f>AVERAGE(O50:O52)</f>
        <v>4.3626666666666667</v>
      </c>
      <c r="G39" s="1">
        <v>2</v>
      </c>
      <c r="H39" s="1">
        <v>-90</v>
      </c>
      <c r="I39" s="18">
        <v>5.0810000000000004</v>
      </c>
      <c r="J39" s="3">
        <v>2</v>
      </c>
      <c r="K39" s="1">
        <v>-90</v>
      </c>
      <c r="L39" s="18">
        <v>4.7779999999999996</v>
      </c>
      <c r="M39" s="3">
        <v>2</v>
      </c>
      <c r="N39" s="1">
        <v>-90</v>
      </c>
      <c r="O39" s="1">
        <v>5.4169999999999998</v>
      </c>
      <c r="Q39" s="1">
        <v>2</v>
      </c>
      <c r="R39" s="1">
        <v>-90</v>
      </c>
      <c r="S39" s="18">
        <v>6.8940000000000001</v>
      </c>
      <c r="T39" s="3">
        <v>2</v>
      </c>
      <c r="U39" s="1">
        <v>-90</v>
      </c>
      <c r="V39" s="18">
        <v>5.7240000000000002</v>
      </c>
      <c r="W39" s="3">
        <v>2</v>
      </c>
      <c r="X39" s="1">
        <v>-90</v>
      </c>
      <c r="Y39" s="1">
        <v>6.024</v>
      </c>
    </row>
    <row r="40" spans="1:29" x14ac:dyDescent="0.3">
      <c r="A40" s="10"/>
      <c r="B40" s="10"/>
      <c r="C40" s="10"/>
      <c r="D40" s="10"/>
      <c r="E40" s="14"/>
      <c r="G40" s="1">
        <v>3</v>
      </c>
      <c r="H40" s="1">
        <v>-120.107</v>
      </c>
      <c r="I40" s="18">
        <v>4.9569999999999999</v>
      </c>
      <c r="J40" s="3">
        <v>3</v>
      </c>
      <c r="K40" s="1">
        <v>-120.53</v>
      </c>
      <c r="L40" s="18">
        <v>5.0309999999999997</v>
      </c>
      <c r="M40" s="3">
        <v>3</v>
      </c>
      <c r="N40" s="1">
        <v>-120.15</v>
      </c>
      <c r="O40" s="1">
        <v>5.3650000000000002</v>
      </c>
      <c r="Q40" s="1">
        <v>3</v>
      </c>
      <c r="R40" s="1">
        <v>-120.479</v>
      </c>
      <c r="S40" s="18">
        <v>7.2450000000000001</v>
      </c>
      <c r="T40" s="3">
        <v>3</v>
      </c>
      <c r="U40" s="1">
        <v>-117.94499999999999</v>
      </c>
      <c r="V40" s="18">
        <v>6.0369999999999999</v>
      </c>
      <c r="W40" s="3">
        <v>3</v>
      </c>
      <c r="X40" s="1">
        <v>-118.45</v>
      </c>
      <c r="Y40" s="1">
        <v>6.851</v>
      </c>
    </row>
    <row r="41" spans="1:29" x14ac:dyDescent="0.3">
      <c r="A41" s="2" t="s">
        <v>0</v>
      </c>
      <c r="B41" s="2" t="s">
        <v>1</v>
      </c>
      <c r="C41" s="2" t="s">
        <v>2</v>
      </c>
      <c r="D41" s="13" t="s">
        <v>3</v>
      </c>
      <c r="E41" s="1"/>
      <c r="G41" s="1" t="s">
        <v>26</v>
      </c>
      <c r="H41" s="1"/>
      <c r="I41" s="18"/>
      <c r="J41" s="3" t="s">
        <v>14</v>
      </c>
      <c r="K41" s="1"/>
      <c r="L41" s="18"/>
      <c r="M41" s="3" t="s">
        <v>33</v>
      </c>
      <c r="N41" s="1"/>
      <c r="O41" s="1"/>
      <c r="Q41" s="1" t="s">
        <v>26</v>
      </c>
      <c r="R41" s="1"/>
      <c r="S41" s="18"/>
      <c r="T41" s="3" t="s">
        <v>14</v>
      </c>
      <c r="U41" s="1"/>
      <c r="V41" s="18"/>
      <c r="W41" s="3" t="s">
        <v>33</v>
      </c>
      <c r="X41" s="1"/>
      <c r="Y41" s="1"/>
    </row>
    <row r="42" spans="1:29" x14ac:dyDescent="0.3">
      <c r="A42" s="2" t="s">
        <v>17</v>
      </c>
      <c r="B42" s="2">
        <v>1</v>
      </c>
      <c r="C42" s="2">
        <v>2</v>
      </c>
      <c r="D42" s="13">
        <v>5</v>
      </c>
      <c r="E42" s="31">
        <f>AVERAGE(I65:I67)</f>
        <v>5.7399999999999993</v>
      </c>
      <c r="G42" s="1">
        <v>1</v>
      </c>
      <c r="H42" s="1">
        <v>-40.03</v>
      </c>
      <c r="I42" s="18">
        <v>4.5759999999999996</v>
      </c>
      <c r="J42" s="3">
        <v>1</v>
      </c>
      <c r="K42" s="1">
        <v>-40.914000000000001</v>
      </c>
      <c r="L42" s="18">
        <v>5.0529999999999999</v>
      </c>
      <c r="M42" s="3">
        <v>1</v>
      </c>
      <c r="N42" s="1">
        <v>-41.055</v>
      </c>
      <c r="O42" s="1">
        <v>4.5259999999999998</v>
      </c>
      <c r="Q42" s="1">
        <v>1</v>
      </c>
      <c r="R42" s="1">
        <v>-42.893999999999998</v>
      </c>
      <c r="S42" s="18">
        <v>6.0620000000000003</v>
      </c>
      <c r="T42" s="3">
        <v>1</v>
      </c>
      <c r="U42" s="1">
        <v>-46.664000000000001</v>
      </c>
      <c r="V42" s="18">
        <v>5.5</v>
      </c>
      <c r="W42" s="3">
        <v>1</v>
      </c>
      <c r="X42" s="1">
        <v>-49</v>
      </c>
      <c r="Y42" s="1">
        <v>6.702</v>
      </c>
    </row>
    <row r="43" spans="1:29" x14ac:dyDescent="0.3">
      <c r="A43" s="2" t="s">
        <v>17</v>
      </c>
      <c r="B43" s="2">
        <v>2</v>
      </c>
      <c r="C43" s="2">
        <v>2</v>
      </c>
      <c r="D43" s="13">
        <v>5</v>
      </c>
      <c r="E43" s="31">
        <f>AVERAGE(I69:I71)</f>
        <v>6.4306666666666672</v>
      </c>
      <c r="G43" s="1">
        <v>2</v>
      </c>
      <c r="H43" s="1">
        <v>-90</v>
      </c>
      <c r="I43" s="18">
        <v>4.2889999999999997</v>
      </c>
      <c r="J43" s="3">
        <v>2</v>
      </c>
      <c r="K43" s="1">
        <v>-90.433999999999997</v>
      </c>
      <c r="L43" s="18">
        <v>4.8</v>
      </c>
      <c r="M43" s="3">
        <v>2</v>
      </c>
      <c r="N43" s="1">
        <v>-90</v>
      </c>
      <c r="O43" s="1">
        <v>4.1100000000000003</v>
      </c>
      <c r="Q43" s="1">
        <v>2</v>
      </c>
      <c r="R43" s="1">
        <v>-90.332999999999998</v>
      </c>
      <c r="S43" s="18">
        <v>5.4169999999999998</v>
      </c>
      <c r="T43" s="3">
        <v>2</v>
      </c>
      <c r="U43" s="1">
        <v>-90</v>
      </c>
      <c r="V43" s="18">
        <v>5.806</v>
      </c>
      <c r="W43" s="3">
        <v>2</v>
      </c>
      <c r="X43" s="1">
        <v>-90.316999999999993</v>
      </c>
      <c r="Y43" s="1">
        <v>5.984</v>
      </c>
    </row>
    <row r="44" spans="1:29" x14ac:dyDescent="0.3">
      <c r="A44" s="2" t="s">
        <v>17</v>
      </c>
      <c r="B44" s="2">
        <v>3</v>
      </c>
      <c r="C44" s="2">
        <v>2</v>
      </c>
      <c r="D44" s="13">
        <v>5</v>
      </c>
      <c r="E44" s="31">
        <f>AVERAGE(I73:I75)</f>
        <v>6.0716666666666663</v>
      </c>
      <c r="G44" s="1">
        <v>3</v>
      </c>
      <c r="H44" s="1">
        <v>-121.70099999999999</v>
      </c>
      <c r="I44" s="18">
        <v>4.4809999999999999</v>
      </c>
      <c r="J44" s="3">
        <v>3</v>
      </c>
      <c r="K44" s="1">
        <v>-120.379</v>
      </c>
      <c r="L44" s="18">
        <v>4.8899999999999997</v>
      </c>
      <c r="M44" s="3">
        <v>3</v>
      </c>
      <c r="N44" s="1">
        <v>-120.964</v>
      </c>
      <c r="O44" s="1">
        <v>4.2789999999999999</v>
      </c>
      <c r="Q44" s="1">
        <v>3</v>
      </c>
      <c r="R44" s="1">
        <v>-121.535</v>
      </c>
      <c r="S44" s="18">
        <v>6.5039999999999996</v>
      </c>
      <c r="T44" s="3">
        <v>3</v>
      </c>
      <c r="U44" s="1">
        <v>-121.298</v>
      </c>
      <c r="V44" s="18">
        <v>6.6440000000000001</v>
      </c>
      <c r="W44" s="3">
        <v>3</v>
      </c>
      <c r="X44" s="1">
        <v>-119.887</v>
      </c>
      <c r="Y44" s="1">
        <v>6.6340000000000003</v>
      </c>
    </row>
    <row r="45" spans="1:29" x14ac:dyDescent="0.3">
      <c r="A45" s="2">
        <v>1260</v>
      </c>
      <c r="B45" s="2">
        <v>1</v>
      </c>
      <c r="C45" s="2">
        <v>2</v>
      </c>
      <c r="D45" s="13">
        <v>5</v>
      </c>
      <c r="E45" s="1">
        <f>AVERAGE(I77:I79)</f>
        <v>5.8386666666666676</v>
      </c>
      <c r="G45" s="1" t="s">
        <v>8</v>
      </c>
      <c r="H45" s="1"/>
      <c r="I45" s="18"/>
      <c r="J45" s="3" t="s">
        <v>15</v>
      </c>
      <c r="K45" s="1"/>
      <c r="L45" s="18"/>
      <c r="M45" s="3" t="s">
        <v>34</v>
      </c>
      <c r="N45" s="1"/>
      <c r="O45" s="1"/>
      <c r="Q45" s="1" t="s">
        <v>8</v>
      </c>
      <c r="R45" s="1"/>
      <c r="S45" s="18"/>
      <c r="T45" s="3" t="s">
        <v>15</v>
      </c>
      <c r="U45" s="1"/>
      <c r="V45" s="18"/>
      <c r="W45" s="3" t="s">
        <v>34</v>
      </c>
      <c r="X45" s="1"/>
      <c r="Y45" s="1"/>
    </row>
    <row r="46" spans="1:29" x14ac:dyDescent="0.3">
      <c r="A46" s="2">
        <v>1260</v>
      </c>
      <c r="B46" s="2">
        <v>2</v>
      </c>
      <c r="C46" s="2">
        <v>2</v>
      </c>
      <c r="D46" s="13">
        <v>5</v>
      </c>
      <c r="E46" s="1">
        <f>AVERAGE(I77:I79)</f>
        <v>5.8386666666666676</v>
      </c>
      <c r="G46" s="1">
        <v>1</v>
      </c>
      <c r="H46" s="1">
        <v>-41.914999999999999</v>
      </c>
      <c r="I46" s="18">
        <v>4.42</v>
      </c>
      <c r="J46" s="3">
        <v>1</v>
      </c>
      <c r="K46" s="1">
        <v>-40.347000000000001</v>
      </c>
      <c r="L46" s="18">
        <v>4.4370000000000003</v>
      </c>
      <c r="M46" s="3">
        <v>1</v>
      </c>
      <c r="N46" s="1">
        <v>-40.44</v>
      </c>
      <c r="O46" s="1">
        <v>4.2430000000000003</v>
      </c>
      <c r="Q46" s="1">
        <v>1</v>
      </c>
      <c r="R46" s="1">
        <v>-49.661999999999999</v>
      </c>
      <c r="S46" s="18">
        <v>5.2060000000000004</v>
      </c>
      <c r="T46" s="3">
        <v>1</v>
      </c>
      <c r="U46" s="1">
        <v>-45.996000000000002</v>
      </c>
      <c r="V46" s="18">
        <v>5.2469999999999999</v>
      </c>
      <c r="W46" s="3">
        <v>1</v>
      </c>
      <c r="X46" s="1">
        <v>-45.47</v>
      </c>
      <c r="Y46" s="1">
        <v>5.7039999999999997</v>
      </c>
    </row>
    <row r="47" spans="1:29" x14ac:dyDescent="0.3">
      <c r="A47" s="2">
        <v>1260</v>
      </c>
      <c r="B47" s="2">
        <v>3</v>
      </c>
      <c r="C47" s="2">
        <v>2</v>
      </c>
      <c r="D47" s="13">
        <v>5</v>
      </c>
      <c r="E47" s="1">
        <f>AVERAGE(I85:I87)</f>
        <v>6.157</v>
      </c>
      <c r="G47" s="1">
        <v>2</v>
      </c>
      <c r="H47" s="1">
        <v>-90</v>
      </c>
      <c r="I47" s="18">
        <v>4.5970000000000004</v>
      </c>
      <c r="J47" s="3">
        <v>2</v>
      </c>
      <c r="K47" s="1">
        <v>-90</v>
      </c>
      <c r="L47" s="18">
        <v>4.9089999999999998</v>
      </c>
      <c r="M47" s="3">
        <v>2</v>
      </c>
      <c r="N47" s="1">
        <v>-90</v>
      </c>
      <c r="O47" s="1">
        <v>4.2569999999999997</v>
      </c>
      <c r="Q47" s="1">
        <v>2</v>
      </c>
      <c r="R47" s="1">
        <v>-90.325999999999993</v>
      </c>
      <c r="S47" s="18">
        <v>5.5430000000000001</v>
      </c>
      <c r="T47" s="3">
        <v>2</v>
      </c>
      <c r="U47" s="1">
        <v>-90</v>
      </c>
      <c r="V47" s="18">
        <v>5.548</v>
      </c>
      <c r="W47" s="3">
        <v>2</v>
      </c>
      <c r="X47" s="1">
        <v>-90</v>
      </c>
      <c r="Y47" s="1">
        <v>5.8840000000000003</v>
      </c>
    </row>
    <row r="48" spans="1:29" x14ac:dyDescent="0.3">
      <c r="A48" s="2">
        <v>1263</v>
      </c>
      <c r="B48" s="2">
        <v>1</v>
      </c>
      <c r="C48" s="2">
        <v>2</v>
      </c>
      <c r="D48" s="13">
        <v>5</v>
      </c>
      <c r="E48" s="1">
        <f>AVERAGE(L65:L67)</f>
        <v>5.9036666666666662</v>
      </c>
      <c r="G48" s="1">
        <v>3</v>
      </c>
      <c r="H48" s="1">
        <v>-120.964</v>
      </c>
      <c r="I48" s="18">
        <v>4.7949999999999999</v>
      </c>
      <c r="J48" s="3">
        <v>3</v>
      </c>
      <c r="K48" s="1">
        <v>-120.256</v>
      </c>
      <c r="L48" s="18">
        <v>4.5469999999999997</v>
      </c>
      <c r="M48" s="3">
        <v>3</v>
      </c>
      <c r="N48" s="1">
        <v>-120.256</v>
      </c>
      <c r="O48" s="1">
        <v>4.5880000000000001</v>
      </c>
      <c r="Q48" s="1">
        <v>3</v>
      </c>
      <c r="R48" s="1">
        <v>-112.548</v>
      </c>
      <c r="S48" s="18">
        <v>5.8319999999999999</v>
      </c>
      <c r="T48" s="3">
        <v>3</v>
      </c>
      <c r="U48" s="1">
        <v>-120.75700000000001</v>
      </c>
      <c r="V48" s="18">
        <v>6.1189999999999998</v>
      </c>
      <c r="W48" s="3">
        <v>3</v>
      </c>
      <c r="X48" s="1">
        <v>-120.91500000000001</v>
      </c>
      <c r="Y48" s="1">
        <v>6.6280000000000001</v>
      </c>
    </row>
    <row r="49" spans="1:25" x14ac:dyDescent="0.3">
      <c r="A49" s="2">
        <v>1263</v>
      </c>
      <c r="B49" s="2">
        <v>2</v>
      </c>
      <c r="C49" s="2">
        <v>2</v>
      </c>
      <c r="D49" s="13">
        <v>5</v>
      </c>
      <c r="E49" s="1">
        <f>AVERAGE(L69:L71)</f>
        <v>6.1216666666666661</v>
      </c>
      <c r="G49" s="1" t="s">
        <v>9</v>
      </c>
      <c r="H49" s="1"/>
      <c r="I49" s="18"/>
      <c r="J49" s="3" t="s">
        <v>16</v>
      </c>
      <c r="K49" s="1"/>
      <c r="L49" s="18"/>
      <c r="M49" s="3" t="s">
        <v>35</v>
      </c>
      <c r="N49" s="1"/>
      <c r="O49" s="1"/>
      <c r="Q49" s="1" t="s">
        <v>9</v>
      </c>
      <c r="R49" s="1"/>
      <c r="S49" s="18"/>
      <c r="T49" s="3" t="s">
        <v>16</v>
      </c>
      <c r="U49" s="1"/>
      <c r="V49" s="18"/>
      <c r="W49" s="3" t="s">
        <v>35</v>
      </c>
      <c r="X49" s="1"/>
      <c r="Y49" s="1"/>
    </row>
    <row r="50" spans="1:25" x14ac:dyDescent="0.3">
      <c r="A50" s="2">
        <v>1263</v>
      </c>
      <c r="B50" s="2">
        <v>3</v>
      </c>
      <c r="C50" s="2">
        <v>2</v>
      </c>
      <c r="D50" s="13">
        <v>5</v>
      </c>
      <c r="E50" s="1">
        <f>AVERAGE(L73:L75)</f>
        <v>5.8033333333333337</v>
      </c>
      <c r="G50" s="1">
        <v>1</v>
      </c>
      <c r="H50" s="1">
        <v>-46.582000000000001</v>
      </c>
      <c r="I50" s="18">
        <v>4.7859999999999996</v>
      </c>
      <c r="J50" s="3">
        <v>1</v>
      </c>
      <c r="K50" s="1">
        <v>-40.347000000000001</v>
      </c>
      <c r="L50" s="18">
        <v>4.4370000000000003</v>
      </c>
      <c r="M50" s="3">
        <v>1</v>
      </c>
      <c r="N50" s="1">
        <v>-40.44</v>
      </c>
      <c r="O50" s="1">
        <v>4.2430000000000003</v>
      </c>
      <c r="Q50" s="1">
        <v>1</v>
      </c>
      <c r="R50" s="1">
        <v>-46.847999999999999</v>
      </c>
      <c r="S50" s="18">
        <v>5.5259999999999998</v>
      </c>
      <c r="T50" s="3">
        <v>1</v>
      </c>
      <c r="U50" s="1">
        <v>-47.77</v>
      </c>
      <c r="V50" s="18">
        <v>5.6630000000000003</v>
      </c>
      <c r="W50" s="3">
        <v>1</v>
      </c>
      <c r="X50" s="1">
        <v>-45.731000000000002</v>
      </c>
      <c r="Y50" s="1">
        <v>5.4939999999999998</v>
      </c>
    </row>
    <row r="51" spans="1:25" x14ac:dyDescent="0.3">
      <c r="A51" s="2">
        <v>1264</v>
      </c>
      <c r="B51" s="2">
        <v>1</v>
      </c>
      <c r="C51" s="2">
        <v>2</v>
      </c>
      <c r="D51" s="13">
        <v>5</v>
      </c>
      <c r="E51" s="1">
        <f>AVERAGE(L77:L79)</f>
        <v>6.1633333333333331</v>
      </c>
      <c r="G51" s="1">
        <v>2</v>
      </c>
      <c r="H51" s="1">
        <v>-90</v>
      </c>
      <c r="I51" s="18">
        <v>5.1210000000000004</v>
      </c>
      <c r="J51" s="3">
        <v>2</v>
      </c>
      <c r="K51" s="1">
        <v>-90</v>
      </c>
      <c r="L51" s="18">
        <v>4.7270000000000003</v>
      </c>
      <c r="M51" s="3">
        <v>2</v>
      </c>
      <c r="N51" s="1">
        <v>-90</v>
      </c>
      <c r="O51" s="1">
        <v>4.2569999999999997</v>
      </c>
      <c r="Q51" s="1">
        <v>2</v>
      </c>
      <c r="R51" s="1">
        <v>-90</v>
      </c>
      <c r="S51" s="18">
        <v>5.2910000000000004</v>
      </c>
      <c r="T51" s="3">
        <v>2</v>
      </c>
      <c r="U51" s="1">
        <v>-90</v>
      </c>
      <c r="V51" s="18">
        <v>5.742</v>
      </c>
      <c r="W51" s="3">
        <v>2</v>
      </c>
      <c r="X51" s="1">
        <v>-90</v>
      </c>
      <c r="Y51" s="1">
        <v>5.7519999999999998</v>
      </c>
    </row>
    <row r="52" spans="1:25" x14ac:dyDescent="0.3">
      <c r="A52" s="2">
        <v>1264</v>
      </c>
      <c r="B52" s="2">
        <v>2</v>
      </c>
      <c r="C52" s="2">
        <v>2</v>
      </c>
      <c r="D52" s="13">
        <v>5</v>
      </c>
      <c r="E52" s="1">
        <f>AVERAGE(L81:L83)</f>
        <v>6.163333333333334</v>
      </c>
      <c r="G52" s="1">
        <v>3</v>
      </c>
      <c r="H52" s="1">
        <v>-120.379</v>
      </c>
      <c r="I52" s="18">
        <v>5.0259999999999998</v>
      </c>
      <c r="J52" s="3">
        <v>3</v>
      </c>
      <c r="K52" s="1">
        <v>-120.51</v>
      </c>
      <c r="L52" s="18">
        <v>4.7270000000000003</v>
      </c>
      <c r="M52" s="3">
        <v>3</v>
      </c>
      <c r="N52" s="1">
        <v>-120.256</v>
      </c>
      <c r="O52" s="1">
        <v>4.5880000000000001</v>
      </c>
      <c r="Q52" s="1">
        <v>3</v>
      </c>
      <c r="R52" s="1">
        <v>-119.971</v>
      </c>
      <c r="S52" s="18">
        <v>5.9260000000000002</v>
      </c>
      <c r="T52" s="3">
        <v>3</v>
      </c>
      <c r="U52" s="1">
        <v>-119.539</v>
      </c>
      <c r="V52" s="18">
        <v>6.6740000000000004</v>
      </c>
      <c r="W52" s="3">
        <v>3</v>
      </c>
      <c r="X52" s="1">
        <v>-120.041</v>
      </c>
      <c r="Y52" s="1">
        <v>6.3390000000000004</v>
      </c>
    </row>
    <row r="53" spans="1:25" x14ac:dyDescent="0.3">
      <c r="A53" s="9">
        <v>1264</v>
      </c>
      <c r="B53" s="9">
        <v>3</v>
      </c>
      <c r="C53" s="2">
        <v>2</v>
      </c>
      <c r="D53" s="13">
        <v>5</v>
      </c>
      <c r="E53" s="1">
        <f>AVERAGE(L85:L87)</f>
        <v>6.5216666666666656</v>
      </c>
      <c r="Q53" s="1" t="s">
        <v>37</v>
      </c>
      <c r="R53" s="1"/>
      <c r="S53" s="1"/>
      <c r="T53" s="1" t="s">
        <v>43</v>
      </c>
      <c r="U53" s="1"/>
      <c r="V53" s="1"/>
    </row>
    <row r="54" spans="1:25" x14ac:dyDescent="0.3">
      <c r="A54" s="2">
        <v>1433</v>
      </c>
      <c r="B54" s="9">
        <v>1</v>
      </c>
      <c r="C54" s="2">
        <v>2</v>
      </c>
      <c r="D54" s="13">
        <v>5</v>
      </c>
      <c r="E54" s="1">
        <f>AVERAGE(O65:O67)</f>
        <v>6.0770000000000008</v>
      </c>
      <c r="Q54" s="1"/>
      <c r="R54" s="1">
        <v>-47.759</v>
      </c>
      <c r="S54" s="1">
        <v>6.2949999999999999</v>
      </c>
      <c r="T54" s="1"/>
      <c r="U54" s="1">
        <v>-49.545000000000002</v>
      </c>
      <c r="V54" s="1">
        <v>6.2789999999999999</v>
      </c>
    </row>
    <row r="55" spans="1:25" x14ac:dyDescent="0.3">
      <c r="A55" s="2">
        <v>1433</v>
      </c>
      <c r="B55" s="2">
        <v>2</v>
      </c>
      <c r="C55" s="2">
        <v>2</v>
      </c>
      <c r="D55" s="13">
        <v>5</v>
      </c>
      <c r="E55" s="1">
        <f>AVERAGE(O69:O71)</f>
        <v>6.4786666666666664</v>
      </c>
      <c r="F55" s="6"/>
      <c r="Q55" s="1"/>
      <c r="R55" s="1">
        <v>-91.343000000000004</v>
      </c>
      <c r="S55" s="1">
        <v>6.859</v>
      </c>
      <c r="T55" s="1"/>
      <c r="U55" s="1">
        <v>-90.662000000000006</v>
      </c>
      <c r="V55" s="1">
        <v>6.4080000000000004</v>
      </c>
    </row>
    <row r="56" spans="1:25" x14ac:dyDescent="0.3">
      <c r="A56" s="2">
        <v>1433</v>
      </c>
      <c r="B56" s="2">
        <v>3</v>
      </c>
      <c r="C56" s="2">
        <v>2</v>
      </c>
      <c r="D56" s="13">
        <v>5</v>
      </c>
      <c r="E56" s="1">
        <f>AVERAGE(O73:O75)</f>
        <v>6.907</v>
      </c>
      <c r="Q56" s="1"/>
      <c r="R56" s="1">
        <v>-122.18300000000001</v>
      </c>
      <c r="S56" s="1">
        <v>7.3419999999999996</v>
      </c>
      <c r="T56" s="1"/>
      <c r="U56" s="1">
        <v>-120.256</v>
      </c>
      <c r="V56" s="1">
        <v>7.2030000000000003</v>
      </c>
    </row>
    <row r="57" spans="1:25" x14ac:dyDescent="0.3">
      <c r="A57" s="2" t="s">
        <v>31</v>
      </c>
      <c r="B57" s="9">
        <v>1</v>
      </c>
      <c r="C57" s="2">
        <v>2</v>
      </c>
      <c r="D57" s="13">
        <v>5</v>
      </c>
      <c r="E57" s="1">
        <f>AVERAGE(O77:O79)</f>
        <v>5.41</v>
      </c>
      <c r="Q57" s="1" t="s">
        <v>38</v>
      </c>
      <c r="R57" s="1"/>
      <c r="S57" s="1"/>
      <c r="T57" s="1" t="s">
        <v>44</v>
      </c>
      <c r="U57" s="1"/>
      <c r="V57" s="1"/>
    </row>
    <row r="58" spans="1:25" x14ac:dyDescent="0.3">
      <c r="A58" s="2" t="s">
        <v>31</v>
      </c>
      <c r="B58" s="2">
        <v>2</v>
      </c>
      <c r="C58" s="2">
        <v>2</v>
      </c>
      <c r="D58" s="13">
        <v>5</v>
      </c>
      <c r="E58" s="1">
        <f>AVERAGE(O81:O83)</f>
        <v>5.3143333333333338</v>
      </c>
      <c r="Q58" s="1"/>
      <c r="R58" s="1">
        <v>-49.134999999999998</v>
      </c>
      <c r="S58" s="1">
        <v>6.3049999999999997</v>
      </c>
      <c r="T58" s="1"/>
      <c r="U58" s="1">
        <v>-46.749000000000002</v>
      </c>
      <c r="V58" s="1">
        <v>6.8650000000000002</v>
      </c>
    </row>
    <row r="59" spans="1:25" x14ac:dyDescent="0.3">
      <c r="A59" s="2" t="s">
        <v>31</v>
      </c>
      <c r="B59" s="2">
        <v>3</v>
      </c>
      <c r="C59" s="2">
        <v>2</v>
      </c>
      <c r="D59" s="13">
        <v>5</v>
      </c>
      <c r="E59" s="1">
        <f>AVERAGE(O85:O87)</f>
        <v>5.4596666666666662</v>
      </c>
      <c r="Q59" s="1"/>
      <c r="R59" s="1">
        <v>-90</v>
      </c>
      <c r="S59" s="1">
        <v>6.1609999999999996</v>
      </c>
      <c r="T59" s="1"/>
      <c r="U59" s="1">
        <v>-90.323999999999998</v>
      </c>
      <c r="V59" s="1">
        <v>6.556</v>
      </c>
    </row>
    <row r="60" spans="1:25" x14ac:dyDescent="0.3">
      <c r="A60" s="2">
        <v>1098</v>
      </c>
      <c r="B60" s="41">
        <v>1</v>
      </c>
      <c r="C60" s="2">
        <v>2</v>
      </c>
      <c r="D60" s="13">
        <v>5</v>
      </c>
      <c r="E60" s="1">
        <f>AVERAGE(I90:I92)</f>
        <v>6.0906666666666665</v>
      </c>
      <c r="G60" s="1"/>
      <c r="H60" s="1"/>
      <c r="I60" s="27"/>
      <c r="J60" s="3"/>
      <c r="K60" s="1"/>
      <c r="L60" s="18"/>
      <c r="M60" s="3"/>
      <c r="N60" s="1"/>
      <c r="O60" s="1"/>
      <c r="Q60" s="1"/>
      <c r="R60" s="1">
        <v>-121.961</v>
      </c>
      <c r="S60" s="1">
        <v>7.3879999999999999</v>
      </c>
      <c r="T60" s="1"/>
      <c r="U60" s="1">
        <v>-121.416</v>
      </c>
      <c r="V60" s="1">
        <v>7.2480000000000002</v>
      </c>
    </row>
    <row r="61" spans="1:25" x14ac:dyDescent="0.3">
      <c r="A61" s="2">
        <v>1098</v>
      </c>
      <c r="B61" s="42">
        <v>2</v>
      </c>
      <c r="C61" s="2">
        <v>2</v>
      </c>
      <c r="D61" s="13">
        <v>5</v>
      </c>
      <c r="E61" s="1">
        <f>AVERAGE(I94:I96)</f>
        <v>5.6290000000000004</v>
      </c>
      <c r="G61" s="1"/>
      <c r="H61" s="1"/>
      <c r="I61" s="27"/>
      <c r="J61" s="3"/>
      <c r="K61" s="1"/>
      <c r="L61" s="18"/>
      <c r="M61" s="3"/>
      <c r="N61" s="1"/>
      <c r="O61" s="1"/>
      <c r="Q61" s="1" t="s">
        <v>39</v>
      </c>
      <c r="R61" s="1"/>
      <c r="S61" s="1"/>
      <c r="T61" s="1" t="s">
        <v>45</v>
      </c>
      <c r="U61" s="1"/>
      <c r="V61" s="1"/>
    </row>
    <row r="62" spans="1:25" x14ac:dyDescent="0.3">
      <c r="A62" s="2">
        <v>1098</v>
      </c>
      <c r="B62" s="42">
        <v>3</v>
      </c>
      <c r="C62" s="2">
        <v>2</v>
      </c>
      <c r="D62" s="13">
        <v>5</v>
      </c>
      <c r="E62" s="1">
        <f>AVERAGE(I98:I100)</f>
        <v>5.9959999999999996</v>
      </c>
      <c r="G62" s="1"/>
      <c r="H62" s="1"/>
      <c r="I62" s="27"/>
      <c r="J62" s="3"/>
      <c r="K62" s="1"/>
      <c r="L62" s="18"/>
      <c r="M62" s="3"/>
      <c r="N62" s="1"/>
      <c r="O62" s="1"/>
      <c r="Q62" s="1"/>
      <c r="R62" s="1">
        <v>-45.326999999999998</v>
      </c>
      <c r="S62" s="1">
        <v>6.6289999999999996</v>
      </c>
      <c r="T62" s="1"/>
      <c r="U62" s="1">
        <v>-45.856000000000002</v>
      </c>
      <c r="V62" s="1">
        <v>6.8620000000000001</v>
      </c>
    </row>
    <row r="63" spans="1:25" x14ac:dyDescent="0.3">
      <c r="A63" s="2">
        <v>1112</v>
      </c>
      <c r="B63" s="41">
        <v>1</v>
      </c>
      <c r="C63" s="2">
        <v>2</v>
      </c>
      <c r="D63" s="13">
        <v>5</v>
      </c>
      <c r="E63" s="1">
        <f>AVERAGE(I102:I104)</f>
        <v>6.0079999999999991</v>
      </c>
      <c r="G63" s="15" t="s">
        <v>28</v>
      </c>
      <c r="Q63" s="1"/>
      <c r="R63" s="1">
        <v>-90</v>
      </c>
      <c r="S63" s="1">
        <v>6.375</v>
      </c>
      <c r="T63" s="1"/>
      <c r="U63" s="1">
        <v>-89.683000000000007</v>
      </c>
      <c r="V63" s="1">
        <v>6.7039999999999997</v>
      </c>
    </row>
    <row r="64" spans="1:25" x14ac:dyDescent="0.3">
      <c r="A64" s="2">
        <v>1112</v>
      </c>
      <c r="B64" s="42">
        <v>2</v>
      </c>
      <c r="C64" s="2">
        <v>2</v>
      </c>
      <c r="D64" s="13">
        <v>5</v>
      </c>
      <c r="E64" s="1">
        <f>AVERAGE(I106:I108)</f>
        <v>5.9236666666666666</v>
      </c>
      <c r="G64" s="1" t="s">
        <v>11</v>
      </c>
      <c r="H64" s="16" t="s">
        <v>5</v>
      </c>
      <c r="I64" s="17" t="s">
        <v>6</v>
      </c>
      <c r="J64" s="3" t="s">
        <v>18</v>
      </c>
      <c r="K64" s="16" t="s">
        <v>5</v>
      </c>
      <c r="L64" s="17" t="s">
        <v>6</v>
      </c>
      <c r="M64" s="19" t="s">
        <v>21</v>
      </c>
      <c r="N64" s="16" t="s">
        <v>5</v>
      </c>
      <c r="O64" s="16" t="s">
        <v>6</v>
      </c>
      <c r="Q64" s="1"/>
      <c r="R64" s="1">
        <v>-119.967</v>
      </c>
      <c r="S64" s="1">
        <v>6.8639999999999999</v>
      </c>
      <c r="T64" s="1"/>
      <c r="U64" s="1">
        <v>-116.944</v>
      </c>
      <c r="V64" s="1">
        <v>7.52</v>
      </c>
    </row>
    <row r="65" spans="1:20" x14ac:dyDescent="0.3">
      <c r="A65" s="2">
        <v>1112</v>
      </c>
      <c r="B65" s="42">
        <v>3</v>
      </c>
      <c r="C65" s="2">
        <v>2</v>
      </c>
      <c r="D65" s="13">
        <v>5</v>
      </c>
      <c r="E65" s="1">
        <f>AVERAGE(I110:I112)</f>
        <v>5.9726666666666661</v>
      </c>
      <c r="G65" s="1">
        <v>1</v>
      </c>
      <c r="H65" s="1">
        <v>-47.81</v>
      </c>
      <c r="I65" s="18">
        <v>5.5380000000000003</v>
      </c>
      <c r="J65" s="3">
        <v>1</v>
      </c>
      <c r="K65" s="1">
        <v>-48.991</v>
      </c>
      <c r="L65" s="18">
        <v>5.6710000000000003</v>
      </c>
      <c r="M65" s="3">
        <v>1</v>
      </c>
      <c r="N65" s="1">
        <v>-45.494999999999997</v>
      </c>
      <c r="O65" s="1">
        <v>6.1340000000000003</v>
      </c>
      <c r="Q65" s="1" t="s">
        <v>40</v>
      </c>
      <c r="R65" s="1"/>
      <c r="S65" s="1"/>
      <c r="T65" s="1"/>
    </row>
    <row r="66" spans="1:20" x14ac:dyDescent="0.3">
      <c r="A66" s="2">
        <v>1123</v>
      </c>
      <c r="B66" s="41">
        <v>1</v>
      </c>
      <c r="C66" s="2">
        <v>2</v>
      </c>
      <c r="D66" s="13">
        <v>5</v>
      </c>
      <c r="E66" s="1">
        <f>AVERAGE(L90:L92)</f>
        <v>6.2026666666666666</v>
      </c>
      <c r="G66" s="1">
        <v>2</v>
      </c>
      <c r="H66" s="1">
        <v>-90.248999999999995</v>
      </c>
      <c r="I66" s="27">
        <v>5.5190000000000001</v>
      </c>
      <c r="J66" s="3">
        <v>2</v>
      </c>
      <c r="K66" s="1">
        <v>-90</v>
      </c>
      <c r="L66" s="18">
        <v>5.9530000000000003</v>
      </c>
      <c r="M66" s="3">
        <v>2</v>
      </c>
      <c r="N66" s="1">
        <v>-90</v>
      </c>
      <c r="O66" s="1">
        <v>6</v>
      </c>
      <c r="Q66" s="1"/>
      <c r="R66" s="1">
        <v>-50.5</v>
      </c>
      <c r="S66" s="1">
        <v>6.9749999999999996</v>
      </c>
      <c r="T66" s="1"/>
    </row>
    <row r="67" spans="1:20" x14ac:dyDescent="0.3">
      <c r="A67" s="2">
        <v>1123</v>
      </c>
      <c r="B67" s="42">
        <v>2</v>
      </c>
      <c r="C67" s="2">
        <v>2</v>
      </c>
      <c r="D67" s="13">
        <v>5</v>
      </c>
      <c r="E67" s="1">
        <f>AVERAGE(L94:L96)</f>
        <v>5.8599999999999994</v>
      </c>
      <c r="G67" s="1">
        <v>3</v>
      </c>
      <c r="H67" s="29">
        <v>-123.566</v>
      </c>
      <c r="I67" s="28">
        <v>6.1630000000000003</v>
      </c>
      <c r="J67" s="3">
        <v>3</v>
      </c>
      <c r="K67" s="1">
        <v>-120.288</v>
      </c>
      <c r="L67" s="18">
        <v>6.0869999999999997</v>
      </c>
      <c r="M67" s="3">
        <v>3</v>
      </c>
      <c r="N67" s="1">
        <v>-120.56100000000001</v>
      </c>
      <c r="O67" s="1">
        <v>6.0970000000000004</v>
      </c>
      <c r="Q67" s="1"/>
      <c r="R67" s="1">
        <v>-90</v>
      </c>
      <c r="S67" s="1">
        <v>6.8360000000000003</v>
      </c>
      <c r="T67" s="1"/>
    </row>
    <row r="68" spans="1:20" x14ac:dyDescent="0.3">
      <c r="A68" s="2">
        <v>1123</v>
      </c>
      <c r="B68" s="42">
        <v>3</v>
      </c>
      <c r="C68" s="2">
        <v>2</v>
      </c>
      <c r="D68" s="13">
        <v>5</v>
      </c>
      <c r="E68" s="1">
        <f>AVERAGE(L98:L100)</f>
        <v>5.6636666666666668</v>
      </c>
      <c r="G68" s="1" t="s">
        <v>12</v>
      </c>
      <c r="H68" s="1"/>
      <c r="I68" s="27"/>
      <c r="J68" s="3" t="s">
        <v>19</v>
      </c>
      <c r="K68" s="1"/>
      <c r="L68" s="18"/>
      <c r="M68" s="3" t="s">
        <v>22</v>
      </c>
      <c r="N68" s="1"/>
      <c r="O68" s="1"/>
      <c r="Q68" s="1"/>
      <c r="R68" s="1">
        <v>-121.43</v>
      </c>
      <c r="S68" s="1">
        <v>7.6710000000000003</v>
      </c>
      <c r="T68" s="1"/>
    </row>
    <row r="69" spans="1:20" x14ac:dyDescent="0.3">
      <c r="A69" s="10"/>
      <c r="B69" s="10"/>
      <c r="C69" s="10"/>
      <c r="D69" s="10"/>
      <c r="E69" s="14"/>
      <c r="G69" s="1">
        <v>1</v>
      </c>
      <c r="H69" s="1">
        <v>-45.616</v>
      </c>
      <c r="I69" s="27">
        <v>6.3129999999999997</v>
      </c>
      <c r="J69" s="3">
        <v>1</v>
      </c>
      <c r="K69" s="1">
        <v>-49.154000000000003</v>
      </c>
      <c r="L69" s="18">
        <v>5.9029999999999996</v>
      </c>
      <c r="M69" s="3">
        <v>1</v>
      </c>
      <c r="N69" s="1">
        <v>-43.426000000000002</v>
      </c>
      <c r="O69" s="1">
        <v>6.4370000000000003</v>
      </c>
      <c r="Q69" s="1" t="s">
        <v>41</v>
      </c>
      <c r="R69" s="1"/>
      <c r="S69" s="1"/>
      <c r="T69" s="1"/>
    </row>
    <row r="70" spans="1:20" x14ac:dyDescent="0.3">
      <c r="A70" s="2" t="s">
        <v>0</v>
      </c>
      <c r="B70" s="2" t="s">
        <v>1</v>
      </c>
      <c r="C70" s="2" t="s">
        <v>2</v>
      </c>
      <c r="D70" s="13" t="s">
        <v>3</v>
      </c>
      <c r="E70" s="1"/>
      <c r="G70" s="1">
        <v>2</v>
      </c>
      <c r="H70" s="1">
        <v>-90</v>
      </c>
      <c r="I70" s="27">
        <v>6.431</v>
      </c>
      <c r="J70" s="3">
        <v>2</v>
      </c>
      <c r="K70" s="1">
        <v>-90</v>
      </c>
      <c r="L70" s="18">
        <v>6</v>
      </c>
      <c r="M70" s="3">
        <v>2</v>
      </c>
      <c r="N70" s="1">
        <v>-90</v>
      </c>
      <c r="O70" s="1">
        <v>6.4</v>
      </c>
      <c r="Q70" s="1"/>
      <c r="R70" s="1">
        <v>-49.268000000000001</v>
      </c>
      <c r="S70" s="1">
        <v>6.91</v>
      </c>
      <c r="T70" s="1"/>
    </row>
    <row r="71" spans="1:20" x14ac:dyDescent="0.3">
      <c r="A71" s="2" t="s">
        <v>17</v>
      </c>
      <c r="B71" s="2">
        <v>1</v>
      </c>
      <c r="C71" s="2">
        <v>2</v>
      </c>
      <c r="D71" s="13">
        <v>6</v>
      </c>
      <c r="E71" s="1">
        <f>AVERAGE(S4:S6)</f>
        <v>6.2173333333333334</v>
      </c>
      <c r="G71" s="1">
        <v>3</v>
      </c>
      <c r="H71" s="29">
        <v>-121.36</v>
      </c>
      <c r="I71" s="28">
        <v>6.548</v>
      </c>
      <c r="J71" s="3">
        <v>3</v>
      </c>
      <c r="K71" s="1">
        <v>-120.256</v>
      </c>
      <c r="L71" s="18">
        <v>6.4619999999999997</v>
      </c>
      <c r="M71" s="3">
        <v>3</v>
      </c>
      <c r="N71" s="1">
        <v>-120.256</v>
      </c>
      <c r="O71" s="1">
        <v>6.5990000000000002</v>
      </c>
      <c r="Q71" s="1"/>
      <c r="R71" s="1">
        <v>-90</v>
      </c>
      <c r="S71" s="1">
        <v>6.6909999999999998</v>
      </c>
      <c r="T71" s="1"/>
    </row>
    <row r="72" spans="1:20" x14ac:dyDescent="0.3">
      <c r="A72" s="2" t="s">
        <v>17</v>
      </c>
      <c r="B72" s="2">
        <v>2</v>
      </c>
      <c r="C72" s="2">
        <v>2</v>
      </c>
      <c r="D72" s="13">
        <v>6</v>
      </c>
      <c r="E72" s="1">
        <f>AVERAGE(S8:S10)</f>
        <v>6.719333333333334</v>
      </c>
      <c r="G72" s="1" t="s">
        <v>13</v>
      </c>
      <c r="H72" s="1"/>
      <c r="I72" s="27"/>
      <c r="J72" s="3" t="s">
        <v>20</v>
      </c>
      <c r="K72" s="1"/>
      <c r="L72" s="18"/>
      <c r="M72" s="3" t="s">
        <v>23</v>
      </c>
      <c r="N72" s="1"/>
      <c r="O72" s="1"/>
      <c r="Q72" s="1"/>
      <c r="R72" s="1">
        <v>-120.236</v>
      </c>
      <c r="S72" s="1">
        <v>7.3659999999999997</v>
      </c>
      <c r="T72" s="1"/>
    </row>
    <row r="73" spans="1:20" x14ac:dyDescent="0.3">
      <c r="A73" s="2" t="s">
        <v>17</v>
      </c>
      <c r="B73" s="2">
        <v>3</v>
      </c>
      <c r="C73" s="2">
        <v>2</v>
      </c>
      <c r="D73" s="13">
        <v>6</v>
      </c>
      <c r="E73" s="1">
        <f>AVERAGE(S12:S14)</f>
        <v>6.2599999999999989</v>
      </c>
      <c r="G73" s="1">
        <v>1</v>
      </c>
      <c r="H73" s="1">
        <v>-75.963999999999999</v>
      </c>
      <c r="I73" s="27">
        <v>5.5410000000000004</v>
      </c>
      <c r="J73" s="3">
        <v>1</v>
      </c>
      <c r="K73" s="1">
        <v>-47.021000000000001</v>
      </c>
      <c r="L73" s="18">
        <v>5.5949999999999998</v>
      </c>
      <c r="M73" s="3">
        <v>1</v>
      </c>
      <c r="N73" s="1">
        <v>-44.420999999999999</v>
      </c>
      <c r="O73" s="1">
        <v>7.0010000000000003</v>
      </c>
      <c r="Q73" s="1" t="s">
        <v>42</v>
      </c>
      <c r="R73" s="1"/>
      <c r="S73" s="1"/>
      <c r="T73" s="1"/>
    </row>
    <row r="74" spans="1:20" x14ac:dyDescent="0.3">
      <c r="A74" s="2">
        <v>1260</v>
      </c>
      <c r="B74" s="2">
        <v>1</v>
      </c>
      <c r="C74" s="2">
        <v>2</v>
      </c>
      <c r="D74" s="13">
        <v>6</v>
      </c>
      <c r="E74" s="1">
        <f>AVERAGE(S16:S18)</f>
        <v>5.8853333333333326</v>
      </c>
      <c r="G74" s="1">
        <v>2</v>
      </c>
      <c r="H74" s="30">
        <v>-135.43299999999999</v>
      </c>
      <c r="I74" s="27">
        <v>6.7370000000000001</v>
      </c>
      <c r="J74" s="3">
        <v>2</v>
      </c>
      <c r="K74" s="1">
        <v>-90</v>
      </c>
      <c r="L74" s="18">
        <v>6</v>
      </c>
      <c r="M74" s="3">
        <v>2</v>
      </c>
      <c r="N74" s="1">
        <v>-90.430999999999997</v>
      </c>
      <c r="O74" s="1">
        <v>6.65</v>
      </c>
      <c r="Q74" s="1"/>
      <c r="R74" s="1">
        <v>-43.29</v>
      </c>
      <c r="S74" s="1">
        <v>6.8940000000000001</v>
      </c>
      <c r="T74" s="1"/>
    </row>
    <row r="75" spans="1:20" x14ac:dyDescent="0.3">
      <c r="A75" s="2">
        <v>1260</v>
      </c>
      <c r="B75" s="2">
        <v>2</v>
      </c>
      <c r="C75" s="2">
        <v>2</v>
      </c>
      <c r="D75" s="13">
        <v>6</v>
      </c>
      <c r="E75" s="1">
        <f>AVERAGE(S20:S22)</f>
        <v>5.5609999999999999</v>
      </c>
      <c r="G75" s="1">
        <v>3</v>
      </c>
      <c r="H75" s="29">
        <v>-165.964</v>
      </c>
      <c r="I75" s="28">
        <v>5.9370000000000003</v>
      </c>
      <c r="J75" s="3">
        <v>3</v>
      </c>
      <c r="K75" s="1">
        <v>-120.256</v>
      </c>
      <c r="L75" s="18">
        <v>5.8150000000000004</v>
      </c>
      <c r="M75" s="3">
        <v>3</v>
      </c>
      <c r="N75" s="1">
        <v>-120.373</v>
      </c>
      <c r="O75" s="1">
        <v>7.07</v>
      </c>
      <c r="Q75" s="1"/>
      <c r="R75" s="1">
        <v>-90.313000000000002</v>
      </c>
      <c r="S75" s="1">
        <v>6.6550000000000002</v>
      </c>
      <c r="T75" s="1"/>
    </row>
    <row r="76" spans="1:20" x14ac:dyDescent="0.3">
      <c r="A76" s="2">
        <v>1260</v>
      </c>
      <c r="B76" s="2">
        <v>3</v>
      </c>
      <c r="C76" s="2">
        <v>2</v>
      </c>
      <c r="D76" s="13">
        <v>6</v>
      </c>
      <c r="E76" s="1">
        <f>AVERAGE(S24:S26)</f>
        <v>5.5686666666666662</v>
      </c>
      <c r="G76" s="1" t="s">
        <v>26</v>
      </c>
      <c r="H76" s="1"/>
      <c r="I76" s="27"/>
      <c r="J76" s="3" t="s">
        <v>14</v>
      </c>
      <c r="K76" s="1"/>
      <c r="L76" s="18"/>
      <c r="M76" s="3" t="s">
        <v>33</v>
      </c>
      <c r="N76" s="1"/>
      <c r="O76" s="1"/>
      <c r="Q76" s="1"/>
      <c r="R76" s="1">
        <v>-119.205</v>
      </c>
      <c r="S76" s="1">
        <v>6.7069999999999999</v>
      </c>
      <c r="T76" s="1"/>
    </row>
    <row r="77" spans="1:20" x14ac:dyDescent="0.3">
      <c r="A77" s="2">
        <v>1263</v>
      </c>
      <c r="B77" s="2">
        <v>1</v>
      </c>
      <c r="C77" s="2">
        <v>2</v>
      </c>
      <c r="D77" s="13">
        <v>6</v>
      </c>
      <c r="E77" s="1">
        <f>AVERAGE(V4:V6)</f>
        <v>6.1013333333333328</v>
      </c>
      <c r="G77" s="1">
        <v>1</v>
      </c>
      <c r="H77" s="1">
        <v>-43.713000000000001</v>
      </c>
      <c r="I77" s="18">
        <v>5.9950000000000001</v>
      </c>
      <c r="J77" s="3">
        <v>1</v>
      </c>
      <c r="K77" s="1">
        <v>-46.396999999999998</v>
      </c>
      <c r="L77" s="18">
        <v>5.9489999999999998</v>
      </c>
      <c r="M77" s="3">
        <v>1</v>
      </c>
      <c r="N77" s="1">
        <v>-43.344999999999999</v>
      </c>
      <c r="O77" s="1">
        <v>5.7590000000000003</v>
      </c>
    </row>
    <row r="78" spans="1:20" x14ac:dyDescent="0.3">
      <c r="A78" s="2">
        <v>1263</v>
      </c>
      <c r="B78" s="2">
        <v>2</v>
      </c>
      <c r="C78" s="2">
        <v>2</v>
      </c>
      <c r="D78" s="13">
        <v>6</v>
      </c>
      <c r="E78" s="1">
        <f>AVERAGE(V8:V10)</f>
        <v>6.2776666666666658</v>
      </c>
      <c r="G78" s="1">
        <v>2</v>
      </c>
      <c r="H78" s="1">
        <v>-90.474999999999994</v>
      </c>
      <c r="I78" s="18">
        <v>5.7380000000000004</v>
      </c>
      <c r="J78" s="3">
        <v>2</v>
      </c>
      <c r="K78" s="1">
        <v>-90</v>
      </c>
      <c r="L78" s="18">
        <v>6.1029999999999998</v>
      </c>
      <c r="M78" s="3">
        <v>2</v>
      </c>
      <c r="N78" s="1">
        <v>-89.478999999999999</v>
      </c>
      <c r="O78" s="1">
        <v>5.1769999999999996</v>
      </c>
    </row>
    <row r="79" spans="1:20" x14ac:dyDescent="0.3">
      <c r="A79" s="2">
        <v>1263</v>
      </c>
      <c r="B79" s="2">
        <v>3</v>
      </c>
      <c r="C79" s="2">
        <v>2</v>
      </c>
      <c r="D79" s="13">
        <v>6</v>
      </c>
      <c r="E79" s="1">
        <f>AVERAGE(V12:V14)</f>
        <v>5.8419999999999996</v>
      </c>
      <c r="G79" s="1">
        <v>3</v>
      </c>
      <c r="H79" s="1">
        <v>-120.155</v>
      </c>
      <c r="I79" s="18">
        <v>5.7830000000000004</v>
      </c>
      <c r="J79" s="3">
        <v>3</v>
      </c>
      <c r="K79" s="1">
        <v>-120.651</v>
      </c>
      <c r="L79" s="18">
        <v>6.4379999999999997</v>
      </c>
      <c r="M79" s="3">
        <v>3</v>
      </c>
      <c r="N79" s="1">
        <v>-120.44</v>
      </c>
      <c r="O79" s="1">
        <v>5.2939999999999996</v>
      </c>
    </row>
    <row r="80" spans="1:20" x14ac:dyDescent="0.3">
      <c r="A80" s="2">
        <v>1264</v>
      </c>
      <c r="B80" s="2">
        <v>1</v>
      </c>
      <c r="C80" s="2">
        <v>2</v>
      </c>
      <c r="D80" s="13">
        <v>6</v>
      </c>
      <c r="E80" s="1">
        <f>AVERAGE(V16:V18)</f>
        <v>6.1466666666666674</v>
      </c>
      <c r="G80" s="1" t="s">
        <v>8</v>
      </c>
      <c r="H80" s="1"/>
      <c r="I80" s="18"/>
      <c r="J80" s="3" t="s">
        <v>15</v>
      </c>
      <c r="K80" s="1"/>
      <c r="L80" s="18"/>
      <c r="M80" s="3" t="s">
        <v>34</v>
      </c>
      <c r="N80" s="1"/>
      <c r="O80" s="1"/>
    </row>
    <row r="81" spans="1:15" x14ac:dyDescent="0.3">
      <c r="A81" s="2">
        <v>1264</v>
      </c>
      <c r="B81" s="2">
        <v>2</v>
      </c>
      <c r="C81" s="2">
        <v>2</v>
      </c>
      <c r="D81" s="13">
        <v>6</v>
      </c>
      <c r="E81" s="1">
        <f>AVERAGE(V20:V22)</f>
        <v>5.5856666666666657</v>
      </c>
      <c r="G81" s="1">
        <v>1</v>
      </c>
      <c r="H81" s="1">
        <v>-41.878</v>
      </c>
      <c r="I81" s="18">
        <v>5.5640000000000001</v>
      </c>
      <c r="J81" s="3">
        <v>1</v>
      </c>
      <c r="K81" s="1">
        <v>-41.552999999999997</v>
      </c>
      <c r="L81" s="18">
        <v>6.03</v>
      </c>
      <c r="M81" s="3">
        <v>1</v>
      </c>
      <c r="N81" s="1">
        <v>-43.512</v>
      </c>
      <c r="O81" s="1">
        <v>5.1260000000000003</v>
      </c>
    </row>
    <row r="82" spans="1:15" x14ac:dyDescent="0.3">
      <c r="A82" s="9">
        <v>1264</v>
      </c>
      <c r="B82" s="9">
        <v>3</v>
      </c>
      <c r="C82" s="2">
        <v>2</v>
      </c>
      <c r="D82" s="13">
        <v>6</v>
      </c>
      <c r="E82" s="1">
        <f>AVERAGE(V24:V26)</f>
        <v>5.8549999999999995</v>
      </c>
      <c r="G82" s="1">
        <v>2</v>
      </c>
      <c r="H82" s="1">
        <v>-90</v>
      </c>
      <c r="I82" s="18">
        <v>5.524</v>
      </c>
      <c r="J82" s="3">
        <v>2</v>
      </c>
      <c r="K82" s="1">
        <v>-90.454999999999998</v>
      </c>
      <c r="L82" s="18">
        <v>6.4619999999999997</v>
      </c>
      <c r="M82" s="3">
        <v>2</v>
      </c>
      <c r="N82" s="1">
        <v>-90.516000000000005</v>
      </c>
      <c r="O82" s="1">
        <v>5.2240000000000002</v>
      </c>
    </row>
    <row r="83" spans="1:15" x14ac:dyDescent="0.3">
      <c r="A83" s="2">
        <v>1433</v>
      </c>
      <c r="B83" s="9">
        <v>1</v>
      </c>
      <c r="C83" s="2">
        <v>2</v>
      </c>
      <c r="D83" s="13">
        <v>6</v>
      </c>
      <c r="E83" s="1">
        <f>AVERAGE(Y4:Y6)</f>
        <v>6.2953333333333328</v>
      </c>
      <c r="G83" s="1">
        <v>3</v>
      </c>
      <c r="H83" s="1">
        <v>-120.334</v>
      </c>
      <c r="I83" s="18">
        <v>6.3170000000000002</v>
      </c>
      <c r="J83" s="3">
        <v>3</v>
      </c>
      <c r="K83" s="1">
        <v>-120.292</v>
      </c>
      <c r="L83" s="18">
        <v>5.9980000000000002</v>
      </c>
      <c r="M83" s="3">
        <v>3</v>
      </c>
      <c r="N83" s="1">
        <v>-120.881</v>
      </c>
      <c r="O83" s="1">
        <v>5.593</v>
      </c>
    </row>
    <row r="84" spans="1:15" x14ac:dyDescent="0.3">
      <c r="A84" s="2">
        <v>1433</v>
      </c>
      <c r="B84" s="2">
        <v>2</v>
      </c>
      <c r="C84" s="2">
        <v>2</v>
      </c>
      <c r="D84" s="13">
        <v>6</v>
      </c>
      <c r="E84" s="1">
        <f>AVERAGE(Y8:Y10)</f>
        <v>5.9653333333333336</v>
      </c>
      <c r="G84" s="1" t="s">
        <v>9</v>
      </c>
      <c r="H84" s="1"/>
      <c r="I84" s="18"/>
      <c r="J84" s="3" t="s">
        <v>16</v>
      </c>
      <c r="K84" s="1"/>
      <c r="L84" s="18"/>
      <c r="M84" s="3" t="s">
        <v>35</v>
      </c>
      <c r="N84" s="1"/>
      <c r="O84" s="1"/>
    </row>
    <row r="85" spans="1:15" x14ac:dyDescent="0.3">
      <c r="A85" s="2">
        <v>1433</v>
      </c>
      <c r="B85" s="2">
        <v>3</v>
      </c>
      <c r="C85" s="2">
        <v>2</v>
      </c>
      <c r="D85" s="13">
        <v>6</v>
      </c>
      <c r="E85" s="1">
        <f>AVERAGE(Y12:Y14)</f>
        <v>6.027000000000001</v>
      </c>
      <c r="G85" s="1">
        <v>1</v>
      </c>
      <c r="H85" s="1">
        <v>-40.881999999999998</v>
      </c>
      <c r="I85" s="18">
        <v>6.33</v>
      </c>
      <c r="J85" s="3">
        <v>1</v>
      </c>
      <c r="K85" s="1">
        <v>-46.017000000000003</v>
      </c>
      <c r="L85" s="18">
        <v>6.1289999999999996</v>
      </c>
      <c r="M85" s="3">
        <v>1</v>
      </c>
      <c r="N85" s="1">
        <v>-47.552999999999997</v>
      </c>
      <c r="O85" s="1">
        <v>5.2290000000000001</v>
      </c>
    </row>
    <row r="86" spans="1:15" x14ac:dyDescent="0.3">
      <c r="A86" s="2" t="s">
        <v>31</v>
      </c>
      <c r="B86" s="9">
        <v>1</v>
      </c>
      <c r="C86" s="2">
        <v>2</v>
      </c>
      <c r="D86" s="2">
        <v>6</v>
      </c>
      <c r="E86" s="1">
        <f>AVERAGE(Y16:Y18)</f>
        <v>5.9009999999999998</v>
      </c>
      <c r="G86" s="1">
        <v>2</v>
      </c>
      <c r="H86" s="1">
        <v>-89.317999999999998</v>
      </c>
      <c r="I86" s="18">
        <v>6</v>
      </c>
      <c r="J86" s="3">
        <v>2</v>
      </c>
      <c r="K86" s="1">
        <v>-90.894999999999996</v>
      </c>
      <c r="L86" s="18">
        <v>6.5650000000000004</v>
      </c>
      <c r="M86" s="3">
        <v>2</v>
      </c>
      <c r="N86" s="1">
        <v>-90</v>
      </c>
      <c r="O86" s="1">
        <v>5.4589999999999996</v>
      </c>
    </row>
    <row r="87" spans="1:15" x14ac:dyDescent="0.3">
      <c r="A87" s="2" t="s">
        <v>31</v>
      </c>
      <c r="B87" s="2">
        <v>2</v>
      </c>
      <c r="C87" s="2">
        <v>2</v>
      </c>
      <c r="D87" s="2">
        <v>6</v>
      </c>
      <c r="E87" s="1">
        <f>AVERAGE(Y20:Y22)</f>
        <v>5.6696666666666671</v>
      </c>
      <c r="G87" s="1">
        <v>3</v>
      </c>
      <c r="H87" s="1">
        <v>-121.04</v>
      </c>
      <c r="I87" s="18">
        <v>6.141</v>
      </c>
      <c r="J87" s="3">
        <v>3</v>
      </c>
      <c r="K87" s="1">
        <v>-122.504</v>
      </c>
      <c r="L87" s="18">
        <v>6.8710000000000004</v>
      </c>
      <c r="M87" s="3">
        <v>3</v>
      </c>
      <c r="N87" s="1">
        <v>-119.745</v>
      </c>
      <c r="O87" s="1">
        <v>5.6909999999999998</v>
      </c>
    </row>
    <row r="88" spans="1:15" x14ac:dyDescent="0.3">
      <c r="A88" s="2" t="s">
        <v>31</v>
      </c>
      <c r="B88" s="2">
        <v>3</v>
      </c>
      <c r="C88" s="2">
        <v>2</v>
      </c>
      <c r="D88" s="2">
        <v>6</v>
      </c>
      <c r="E88" s="1">
        <f>AVERAGE(Y24:Y26)</f>
        <v>5.6260000000000003</v>
      </c>
    </row>
    <row r="89" spans="1:15" x14ac:dyDescent="0.3">
      <c r="A89" s="10"/>
      <c r="B89" s="10"/>
      <c r="C89" s="10"/>
      <c r="D89" s="10"/>
      <c r="E89" s="14"/>
      <c r="G89" s="1" t="s">
        <v>37</v>
      </c>
      <c r="H89" s="1"/>
      <c r="I89" s="1"/>
      <c r="J89" s="1" t="s">
        <v>43</v>
      </c>
      <c r="K89" s="1"/>
      <c r="L89" s="1"/>
    </row>
    <row r="90" spans="1:15" x14ac:dyDescent="0.3">
      <c r="A90" s="2" t="s">
        <v>0</v>
      </c>
      <c r="B90" s="2" t="s">
        <v>1</v>
      </c>
      <c r="C90" s="2" t="s">
        <v>2</v>
      </c>
      <c r="D90" s="13" t="s">
        <v>3</v>
      </c>
      <c r="E90" s="1"/>
      <c r="G90" s="1"/>
      <c r="H90" s="1">
        <v>-47.816000000000003</v>
      </c>
      <c r="I90" s="1">
        <v>5.9059999999999997</v>
      </c>
      <c r="J90" s="1"/>
      <c r="K90" s="1">
        <v>-44.036999999999999</v>
      </c>
      <c r="L90" s="1">
        <v>5.9059999999999997</v>
      </c>
    </row>
    <row r="91" spans="1:15" x14ac:dyDescent="0.3">
      <c r="A91" s="2" t="s">
        <v>17</v>
      </c>
      <c r="B91" s="2">
        <v>1</v>
      </c>
      <c r="C91" s="2">
        <v>2</v>
      </c>
      <c r="D91" s="13">
        <v>7</v>
      </c>
      <c r="E91" s="1">
        <f>AVERAGE(S30:S32)</f>
        <v>6.644000000000001</v>
      </c>
      <c r="G91" s="1"/>
      <c r="H91" s="1">
        <v>-90</v>
      </c>
      <c r="I91" s="1">
        <v>5.8460000000000001</v>
      </c>
      <c r="J91" s="1"/>
      <c r="K91" s="1">
        <v>-90</v>
      </c>
      <c r="L91" s="1">
        <v>5.86</v>
      </c>
    </row>
    <row r="92" spans="1:15" x14ac:dyDescent="0.3">
      <c r="A92" s="2" t="s">
        <v>17</v>
      </c>
      <c r="B92" s="2">
        <v>2</v>
      </c>
      <c r="C92" s="2">
        <v>2</v>
      </c>
      <c r="D92" s="13">
        <v>7</v>
      </c>
      <c r="E92" s="1">
        <f>AVERAGE(S34:S36)</f>
        <v>7.0939999999999985</v>
      </c>
      <c r="G92" s="1"/>
      <c r="H92" s="1">
        <v>-121.273</v>
      </c>
      <c r="I92" s="1">
        <v>6.52</v>
      </c>
      <c r="J92" s="1"/>
      <c r="K92" s="1">
        <v>-120.51</v>
      </c>
      <c r="L92" s="1">
        <v>6.8419999999999996</v>
      </c>
    </row>
    <row r="93" spans="1:15" x14ac:dyDescent="0.3">
      <c r="A93" s="2" t="s">
        <v>17</v>
      </c>
      <c r="B93" s="2">
        <v>3</v>
      </c>
      <c r="C93" s="2">
        <v>2</v>
      </c>
      <c r="D93" s="13">
        <v>7</v>
      </c>
      <c r="E93" s="1">
        <f>AVERAGE(S38:S40)</f>
        <v>6.6793333333333331</v>
      </c>
      <c r="G93" s="1" t="s">
        <v>38</v>
      </c>
      <c r="H93" s="1"/>
      <c r="I93" s="1"/>
      <c r="J93" s="1" t="s">
        <v>44</v>
      </c>
      <c r="K93" s="1"/>
      <c r="L93" s="1"/>
    </row>
    <row r="94" spans="1:15" x14ac:dyDescent="0.3">
      <c r="A94" s="2">
        <v>1260</v>
      </c>
      <c r="B94" s="2">
        <v>1</v>
      </c>
      <c r="C94" s="2">
        <v>2</v>
      </c>
      <c r="D94" s="13">
        <v>7</v>
      </c>
      <c r="E94" s="1">
        <f>AVERAGE(S42:S44)</f>
        <v>5.9943333333333326</v>
      </c>
      <c r="G94" s="1"/>
      <c r="H94" s="1">
        <v>-46.548000000000002</v>
      </c>
      <c r="I94" s="1">
        <v>5.3689999999999998</v>
      </c>
      <c r="J94" s="1"/>
      <c r="K94" s="1">
        <v>-43.249000000000002</v>
      </c>
      <c r="L94" s="1">
        <v>5.6840000000000002</v>
      </c>
    </row>
    <row r="95" spans="1:15" x14ac:dyDescent="0.3">
      <c r="A95" s="2">
        <v>1260</v>
      </c>
      <c r="B95" s="2">
        <v>2</v>
      </c>
      <c r="C95" s="2">
        <v>2</v>
      </c>
      <c r="D95" s="13">
        <v>7</v>
      </c>
      <c r="E95" s="1">
        <f>AVERAGE(S46:S48)</f>
        <v>5.5270000000000001</v>
      </c>
      <c r="G95" s="1"/>
      <c r="H95" s="1">
        <v>-90</v>
      </c>
      <c r="I95" s="1">
        <v>5.2309999999999999</v>
      </c>
      <c r="J95" s="1"/>
      <c r="K95" s="1">
        <v>-90.715999999999994</v>
      </c>
      <c r="L95" s="1">
        <v>5.6139999999999999</v>
      </c>
    </row>
    <row r="96" spans="1:15" x14ac:dyDescent="0.3">
      <c r="A96" s="2">
        <v>1260</v>
      </c>
      <c r="B96" s="2">
        <v>3</v>
      </c>
      <c r="C96" s="2">
        <v>2</v>
      </c>
      <c r="D96" s="13">
        <v>7</v>
      </c>
      <c r="E96" s="1">
        <f>AVERAGE(S50:S52)</f>
        <v>5.5810000000000004</v>
      </c>
      <c r="G96" s="1"/>
      <c r="H96" s="1">
        <v>-123.69</v>
      </c>
      <c r="I96" s="1">
        <v>6.2869999999999999</v>
      </c>
      <c r="J96" s="1"/>
      <c r="K96" s="1">
        <v>-121.29300000000001</v>
      </c>
      <c r="L96" s="1">
        <v>6.282</v>
      </c>
    </row>
    <row r="97" spans="1:12" x14ac:dyDescent="0.3">
      <c r="A97" s="2">
        <v>1263</v>
      </c>
      <c r="B97" s="2">
        <v>1</v>
      </c>
      <c r="C97" s="2">
        <v>2</v>
      </c>
      <c r="D97" s="13">
        <v>7</v>
      </c>
      <c r="E97" s="1">
        <f>AVERAGE(V30:V32)</f>
        <v>6.2899999999999991</v>
      </c>
      <c r="G97" s="1" t="s">
        <v>39</v>
      </c>
      <c r="H97" s="1"/>
      <c r="I97" s="1"/>
      <c r="J97" s="1" t="s">
        <v>45</v>
      </c>
      <c r="K97" s="1"/>
      <c r="L97" s="1"/>
    </row>
    <row r="98" spans="1:12" x14ac:dyDescent="0.3">
      <c r="A98" s="2">
        <v>1263</v>
      </c>
      <c r="B98" s="2">
        <v>2</v>
      </c>
      <c r="C98" s="2">
        <v>2</v>
      </c>
      <c r="D98" s="13">
        <v>7</v>
      </c>
      <c r="E98" s="1">
        <f>AVERAGE(V34:V36)</f>
        <v>6.226</v>
      </c>
      <c r="G98" s="1"/>
      <c r="H98" s="1">
        <v>-47.094999999999999</v>
      </c>
      <c r="I98" s="1">
        <v>5.9509999999999996</v>
      </c>
      <c r="J98" s="1"/>
      <c r="K98" s="1">
        <v>-44.17</v>
      </c>
      <c r="L98" s="1">
        <v>5.1360000000000001</v>
      </c>
    </row>
    <row r="99" spans="1:12" x14ac:dyDescent="0.3">
      <c r="A99" s="2">
        <v>1263</v>
      </c>
      <c r="B99" s="2">
        <v>3</v>
      </c>
      <c r="C99" s="2">
        <v>2</v>
      </c>
      <c r="D99" s="13">
        <v>7</v>
      </c>
      <c r="E99" s="1">
        <f>AVERAGE(V38:V40)</f>
        <v>5.7676666666666669</v>
      </c>
      <c r="G99" s="1"/>
      <c r="H99" s="1">
        <v>-90.498000000000005</v>
      </c>
      <c r="I99" s="1">
        <v>5.8979999999999997</v>
      </c>
      <c r="J99" s="1"/>
      <c r="K99" s="1">
        <v>-90.358000000000004</v>
      </c>
      <c r="L99" s="1">
        <v>5.6139999999999999</v>
      </c>
    </row>
    <row r="100" spans="1:12" x14ac:dyDescent="0.3">
      <c r="A100" s="2">
        <v>1264</v>
      </c>
      <c r="B100" s="2">
        <v>1</v>
      </c>
      <c r="C100" s="2">
        <v>2</v>
      </c>
      <c r="D100" s="13">
        <v>7</v>
      </c>
      <c r="E100" s="1">
        <f>AVERAGE(V42:V44)</f>
        <v>5.9833333333333343</v>
      </c>
      <c r="G100" s="1"/>
      <c r="H100" s="1">
        <v>-120.63500000000001</v>
      </c>
      <c r="I100" s="1">
        <v>6.1390000000000002</v>
      </c>
      <c r="J100" s="1"/>
      <c r="K100" s="1">
        <v>-121.90300000000001</v>
      </c>
      <c r="L100" s="1">
        <v>6.2409999999999997</v>
      </c>
    </row>
    <row r="101" spans="1:12" x14ac:dyDescent="0.3">
      <c r="A101" s="2">
        <v>1264</v>
      </c>
      <c r="B101" s="2">
        <v>2</v>
      </c>
      <c r="C101" s="2">
        <v>2</v>
      </c>
      <c r="D101" s="13">
        <v>7</v>
      </c>
      <c r="E101" s="1">
        <f>AVERAGE(V46:V48)</f>
        <v>5.6380000000000008</v>
      </c>
      <c r="G101" s="1" t="s">
        <v>40</v>
      </c>
      <c r="H101" s="1"/>
      <c r="I101" s="1"/>
      <c r="J101" s="30"/>
    </row>
    <row r="102" spans="1:12" x14ac:dyDescent="0.3">
      <c r="A102" s="9">
        <v>1264</v>
      </c>
      <c r="B102" s="9">
        <v>3</v>
      </c>
      <c r="C102" s="2">
        <v>2</v>
      </c>
      <c r="D102" s="13">
        <v>7</v>
      </c>
      <c r="E102" s="1">
        <f>AVERAGE(V50:V52)</f>
        <v>6.0263333333333335</v>
      </c>
      <c r="G102" s="1"/>
      <c r="H102" s="1">
        <v>-45.725000000000001</v>
      </c>
      <c r="I102" s="1">
        <v>5.8789999999999996</v>
      </c>
      <c r="J102" s="1"/>
    </row>
    <row r="103" spans="1:12" x14ac:dyDescent="0.3">
      <c r="A103" s="2">
        <v>1433</v>
      </c>
      <c r="B103" s="9">
        <v>1</v>
      </c>
      <c r="C103" s="2">
        <v>2</v>
      </c>
      <c r="D103" s="13">
        <v>7</v>
      </c>
      <c r="E103" s="1">
        <f>AVERAGE(Y30:Y32)</f>
        <v>6.4303333333333335</v>
      </c>
      <c r="G103" s="1"/>
      <c r="H103" s="1">
        <v>-90</v>
      </c>
      <c r="I103" s="1">
        <v>5.9279999999999999</v>
      </c>
      <c r="J103" s="1"/>
    </row>
    <row r="104" spans="1:12" x14ac:dyDescent="0.3">
      <c r="A104" s="2">
        <v>1433</v>
      </c>
      <c r="B104" s="2">
        <v>2</v>
      </c>
      <c r="C104" s="2">
        <v>2</v>
      </c>
      <c r="D104" s="13">
        <v>7</v>
      </c>
      <c r="E104" s="1">
        <f>AVERAGE(Y34:Y36)</f>
        <v>6.1980000000000004</v>
      </c>
      <c r="G104" s="1"/>
      <c r="H104" s="1">
        <v>-122.79300000000001</v>
      </c>
      <c r="I104" s="1">
        <v>6.2169999999999996</v>
      </c>
      <c r="J104" s="1"/>
    </row>
    <row r="105" spans="1:12" x14ac:dyDescent="0.3">
      <c r="A105" s="2">
        <v>1433</v>
      </c>
      <c r="B105" s="2">
        <v>3</v>
      </c>
      <c r="C105" s="2">
        <v>2</v>
      </c>
      <c r="D105" s="13">
        <v>7</v>
      </c>
      <c r="E105" s="1">
        <f>AVERAGE(Y38:Y40)</f>
        <v>6.1980000000000004</v>
      </c>
      <c r="G105" s="1" t="s">
        <v>41</v>
      </c>
      <c r="H105" s="1"/>
      <c r="I105" s="1"/>
      <c r="J105" s="1"/>
    </row>
    <row r="106" spans="1:12" x14ac:dyDescent="0.3">
      <c r="A106" s="2" t="s">
        <v>31</v>
      </c>
      <c r="B106" s="9">
        <v>1</v>
      </c>
      <c r="C106" s="2">
        <v>2</v>
      </c>
      <c r="D106" s="13">
        <v>7</v>
      </c>
      <c r="E106" s="1">
        <f>AVERAGE(Y42:Y44)</f>
        <v>6.44</v>
      </c>
      <c r="G106" s="1"/>
      <c r="H106" s="1">
        <v>-42.420999999999999</v>
      </c>
      <c r="I106" s="1">
        <v>5.5119999999999996</v>
      </c>
      <c r="J106" s="1"/>
    </row>
    <row r="107" spans="1:12" x14ac:dyDescent="0.3">
      <c r="A107" s="2" t="s">
        <v>31</v>
      </c>
      <c r="B107" s="2">
        <v>2</v>
      </c>
      <c r="C107" s="2">
        <v>2</v>
      </c>
      <c r="D107" s="13">
        <v>7</v>
      </c>
      <c r="E107" s="1">
        <f>AVERAGE(Y46:Y48)</f>
        <v>6.0720000000000001</v>
      </c>
      <c r="G107" s="1"/>
      <c r="H107" s="1">
        <v>-90.353999999999999</v>
      </c>
      <c r="I107" s="1">
        <v>5.6820000000000004</v>
      </c>
      <c r="J107" s="1"/>
    </row>
    <row r="108" spans="1:12" x14ac:dyDescent="0.3">
      <c r="A108" s="2" t="s">
        <v>31</v>
      </c>
      <c r="B108" s="2">
        <v>3</v>
      </c>
      <c r="C108" s="2">
        <v>2</v>
      </c>
      <c r="D108" s="13">
        <v>7</v>
      </c>
      <c r="E108" s="1">
        <f>AVERAGE(Y50:Y52)</f>
        <v>5.8616666666666672</v>
      </c>
      <c r="G108" s="1"/>
      <c r="H108" s="1">
        <v>-124.792</v>
      </c>
      <c r="I108" s="1">
        <v>6.577</v>
      </c>
      <c r="J108" s="1"/>
    </row>
    <row r="109" spans="1:12" x14ac:dyDescent="0.3">
      <c r="A109" s="2">
        <v>1098</v>
      </c>
      <c r="B109" s="2">
        <v>1</v>
      </c>
      <c r="C109" s="2">
        <v>2</v>
      </c>
      <c r="D109" s="2">
        <v>7</v>
      </c>
      <c r="E109" s="1">
        <f>AVERAGE(S54:S56)</f>
        <v>6.8319999999999999</v>
      </c>
      <c r="G109" s="1" t="s">
        <v>42</v>
      </c>
      <c r="H109" s="1"/>
      <c r="I109" s="1"/>
      <c r="J109" s="1"/>
    </row>
    <row r="110" spans="1:12" x14ac:dyDescent="0.3">
      <c r="A110" s="2">
        <v>1098</v>
      </c>
      <c r="B110" s="2">
        <v>2</v>
      </c>
      <c r="C110" s="2">
        <v>2</v>
      </c>
      <c r="D110" s="2">
        <v>7</v>
      </c>
      <c r="E110" s="1">
        <f>AVERAGE(S58:S60)</f>
        <v>6.6179999999999994</v>
      </c>
      <c r="G110" s="1"/>
      <c r="H110" s="1">
        <v>-45.238</v>
      </c>
      <c r="I110" s="1">
        <v>5.9770000000000003</v>
      </c>
      <c r="J110" s="1"/>
    </row>
    <row r="111" spans="1:12" x14ac:dyDescent="0.3">
      <c r="A111" s="2">
        <v>1098</v>
      </c>
      <c r="B111" s="2">
        <v>3</v>
      </c>
      <c r="C111" s="2">
        <v>2</v>
      </c>
      <c r="D111" s="2">
        <v>7</v>
      </c>
      <c r="E111" s="1">
        <f>AVERAGE(S62:S64)</f>
        <v>6.6226666666666665</v>
      </c>
      <c r="G111" s="1"/>
      <c r="H111" s="1">
        <v>-89.313999999999993</v>
      </c>
      <c r="I111" s="1">
        <v>5.8579999999999997</v>
      </c>
      <c r="J111" s="1"/>
    </row>
    <row r="112" spans="1:12" x14ac:dyDescent="0.3">
      <c r="A112" s="2">
        <v>1112</v>
      </c>
      <c r="B112" s="2">
        <v>1</v>
      </c>
      <c r="C112" s="2">
        <v>2</v>
      </c>
      <c r="D112" s="2">
        <v>7</v>
      </c>
      <c r="E112" s="1">
        <f>AVERAGE(S66:S68)</f>
        <v>7.1606666666666667</v>
      </c>
      <c r="G112" s="1"/>
      <c r="H112" s="1">
        <v>-122.04</v>
      </c>
      <c r="I112" s="1">
        <v>6.0830000000000002</v>
      </c>
      <c r="J112" s="1"/>
    </row>
    <row r="113" spans="1:5" x14ac:dyDescent="0.3">
      <c r="A113" s="2">
        <v>1112</v>
      </c>
      <c r="B113" s="2">
        <v>2</v>
      </c>
      <c r="C113" s="2">
        <v>2</v>
      </c>
      <c r="D113" s="2">
        <v>7</v>
      </c>
      <c r="E113" s="1">
        <f>AVERAGE(S70:S72)</f>
        <v>6.9889999999999999</v>
      </c>
    </row>
    <row r="114" spans="1:5" x14ac:dyDescent="0.3">
      <c r="A114" s="2">
        <v>1112</v>
      </c>
      <c r="B114" s="2">
        <v>3</v>
      </c>
      <c r="C114" s="2">
        <v>2</v>
      </c>
      <c r="D114" s="2">
        <v>7</v>
      </c>
      <c r="E114" s="1">
        <f>AVERAGE(S74:S76)</f>
        <v>6.7519999999999998</v>
      </c>
    </row>
    <row r="115" spans="1:5" x14ac:dyDescent="0.3">
      <c r="A115" s="2">
        <v>1123</v>
      </c>
      <c r="B115" s="2">
        <v>1</v>
      </c>
      <c r="C115" s="2">
        <v>2</v>
      </c>
      <c r="D115" s="2">
        <v>7</v>
      </c>
      <c r="E115" s="1">
        <f>AVERAGE(V54:V56)</f>
        <v>6.63</v>
      </c>
    </row>
    <row r="116" spans="1:5" x14ac:dyDescent="0.3">
      <c r="A116" s="2">
        <v>1123</v>
      </c>
      <c r="B116" s="2">
        <v>2</v>
      </c>
      <c r="C116" s="2">
        <v>2</v>
      </c>
      <c r="D116" s="2">
        <v>7</v>
      </c>
      <c r="E116" s="1">
        <f>AVERAGE(V58:V60)</f>
        <v>6.8896666666666668</v>
      </c>
    </row>
    <row r="117" spans="1:5" x14ac:dyDescent="0.3">
      <c r="A117" s="2">
        <v>1123</v>
      </c>
      <c r="B117" s="2">
        <v>3</v>
      </c>
      <c r="C117" s="2">
        <v>2</v>
      </c>
      <c r="D117" s="2">
        <v>7</v>
      </c>
      <c r="E117" s="1">
        <f>AVERAGE(V62:V64)</f>
        <v>7.0286666666666662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FB2B-D90C-4170-B0CD-7F3149FC4464}">
  <dimension ref="A2:AC118"/>
  <sheetViews>
    <sheetView tabSelected="1" topLeftCell="A98" zoomScaleNormal="100" workbookViewId="0">
      <selection activeCell="A110" sqref="A110:E118"/>
    </sheetView>
  </sheetViews>
  <sheetFormatPr defaultColWidth="8.77734375" defaultRowHeight="14.4" x14ac:dyDescent="0.3"/>
  <cols>
    <col min="1" max="1" width="11.77734375" customWidth="1"/>
    <col min="2" max="3" width="11.109375" customWidth="1"/>
    <col min="4" max="4" width="11.6640625" customWidth="1"/>
    <col min="5" max="5" width="11.77734375" customWidth="1"/>
  </cols>
  <sheetData>
    <row r="2" spans="1:1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15" x14ac:dyDescent="0.3">
      <c r="A3" s="2" t="s">
        <v>17</v>
      </c>
      <c r="B3" s="2">
        <v>1</v>
      </c>
      <c r="C3" s="2">
        <v>3</v>
      </c>
      <c r="D3" s="2">
        <v>3</v>
      </c>
      <c r="E3" s="1">
        <f>AVERAGE(I5:I7)</f>
        <v>3.7183333333333337</v>
      </c>
      <c r="G3" s="15" t="s">
        <v>10</v>
      </c>
    </row>
    <row r="4" spans="1:15" x14ac:dyDescent="0.3">
      <c r="A4" s="2" t="s">
        <v>17</v>
      </c>
      <c r="B4" s="2">
        <v>2</v>
      </c>
      <c r="C4" s="2">
        <v>3</v>
      </c>
      <c r="D4" s="2">
        <v>3</v>
      </c>
      <c r="E4" s="1">
        <f>AVERAGE(I9:I11)</f>
        <v>3.7086666666666672</v>
      </c>
      <c r="G4" s="1" t="s">
        <v>11</v>
      </c>
      <c r="H4" s="16" t="s">
        <v>5</v>
      </c>
      <c r="I4" s="17" t="s">
        <v>6</v>
      </c>
      <c r="J4" s="3" t="s">
        <v>18</v>
      </c>
      <c r="K4" s="16" t="s">
        <v>5</v>
      </c>
      <c r="L4" s="17" t="s">
        <v>6</v>
      </c>
      <c r="M4" s="19" t="s">
        <v>21</v>
      </c>
      <c r="N4" s="16" t="s">
        <v>5</v>
      </c>
      <c r="O4" s="17" t="s">
        <v>6</v>
      </c>
    </row>
    <row r="5" spans="1:15" x14ac:dyDescent="0.3">
      <c r="A5" s="2" t="s">
        <v>17</v>
      </c>
      <c r="B5" s="2">
        <v>3</v>
      </c>
      <c r="C5" s="2">
        <v>3</v>
      </c>
      <c r="D5" s="2">
        <v>3</v>
      </c>
      <c r="E5" s="1">
        <f>AVERAGE(I13:I15)</f>
        <v>3.6103333333333332</v>
      </c>
      <c r="G5" s="20">
        <v>1</v>
      </c>
      <c r="H5" s="1">
        <v>-39.036000000000001</v>
      </c>
      <c r="I5" s="18">
        <v>3.633</v>
      </c>
      <c r="J5" s="3">
        <v>1</v>
      </c>
      <c r="K5" s="1">
        <v>-40.786000000000001</v>
      </c>
      <c r="L5" s="18">
        <v>3.3130000000000002</v>
      </c>
      <c r="M5" s="3">
        <v>1</v>
      </c>
      <c r="N5" s="1">
        <v>-40.206000000000003</v>
      </c>
      <c r="O5" s="18">
        <v>3.6059999999999999</v>
      </c>
    </row>
    <row r="6" spans="1:15" x14ac:dyDescent="0.3">
      <c r="A6" s="2">
        <v>1260</v>
      </c>
      <c r="B6" s="2">
        <v>1</v>
      </c>
      <c r="C6" s="2">
        <v>3</v>
      </c>
      <c r="D6" s="2">
        <v>3</v>
      </c>
      <c r="E6" s="1">
        <f>AVERAGE(I17:I22)</f>
        <v>3.6416666666666671</v>
      </c>
      <c r="G6" s="20">
        <v>2</v>
      </c>
      <c r="H6" s="1">
        <v>-90</v>
      </c>
      <c r="I6" s="18">
        <v>3.7370000000000001</v>
      </c>
      <c r="J6" s="3">
        <v>2</v>
      </c>
      <c r="K6" s="1">
        <v>-90</v>
      </c>
      <c r="L6" s="18">
        <v>3.59</v>
      </c>
      <c r="M6" s="3">
        <v>2</v>
      </c>
      <c r="N6" s="1">
        <v>-90</v>
      </c>
      <c r="O6" s="18">
        <v>3.7050000000000001</v>
      </c>
    </row>
    <row r="7" spans="1:15" x14ac:dyDescent="0.3">
      <c r="A7" s="2">
        <v>1260</v>
      </c>
      <c r="B7" s="2">
        <v>2</v>
      </c>
      <c r="C7" s="2">
        <v>3</v>
      </c>
      <c r="D7" s="2">
        <v>3</v>
      </c>
      <c r="E7" s="1">
        <f>AVERAGE(I24:I26)</f>
        <v>3.1126666666666671</v>
      </c>
      <c r="G7" s="20">
        <v>3</v>
      </c>
      <c r="H7" s="1">
        <v>-120.7</v>
      </c>
      <c r="I7" s="18">
        <v>3.7850000000000001</v>
      </c>
      <c r="J7" s="3">
        <v>3</v>
      </c>
      <c r="K7" s="1">
        <v>-120.548</v>
      </c>
      <c r="L7" s="18">
        <v>3.4830000000000001</v>
      </c>
      <c r="M7" s="3">
        <v>3</v>
      </c>
      <c r="N7" s="1">
        <v>-120.09399999999999</v>
      </c>
      <c r="O7" s="18">
        <v>3.335</v>
      </c>
    </row>
    <row r="8" spans="1:15" x14ac:dyDescent="0.3">
      <c r="A8" s="2">
        <v>1260</v>
      </c>
      <c r="B8" s="2">
        <v>3</v>
      </c>
      <c r="C8" s="2">
        <v>3</v>
      </c>
      <c r="D8" s="2">
        <v>3</v>
      </c>
      <c r="E8" s="2">
        <f>AVERAGE(I28:I30)</f>
        <v>3.746</v>
      </c>
      <c r="G8" s="20" t="s">
        <v>12</v>
      </c>
      <c r="H8" s="1"/>
      <c r="I8" s="18"/>
      <c r="J8" s="3" t="s">
        <v>19</v>
      </c>
      <c r="K8" s="1"/>
      <c r="L8" s="18"/>
      <c r="M8" s="3" t="s">
        <v>22</v>
      </c>
      <c r="N8" s="1"/>
      <c r="O8" s="18"/>
    </row>
    <row r="9" spans="1:15" x14ac:dyDescent="0.3">
      <c r="A9" s="2">
        <v>1263</v>
      </c>
      <c r="B9" s="2">
        <v>1</v>
      </c>
      <c r="C9" s="2">
        <v>3</v>
      </c>
      <c r="D9" s="2">
        <v>3</v>
      </c>
      <c r="E9" s="2">
        <f>AVERAGE(L5:L7)</f>
        <v>3.4620000000000002</v>
      </c>
      <c r="G9" s="20">
        <v>1</v>
      </c>
      <c r="H9" s="1">
        <v>-39.130000000000003</v>
      </c>
      <c r="I9" s="18">
        <v>3.867</v>
      </c>
      <c r="J9" s="3">
        <v>1</v>
      </c>
      <c r="K9" s="1">
        <v>-40.600999999999999</v>
      </c>
      <c r="L9" s="18">
        <v>3.4009999999999998</v>
      </c>
      <c r="M9" s="3">
        <v>1</v>
      </c>
      <c r="N9" s="1">
        <v>-40.795000000000002</v>
      </c>
      <c r="O9" s="18">
        <v>3.1619999999999999</v>
      </c>
    </row>
    <row r="10" spans="1:15" x14ac:dyDescent="0.3">
      <c r="A10" s="2">
        <v>1263</v>
      </c>
      <c r="B10" s="2">
        <v>2</v>
      </c>
      <c r="C10" s="2">
        <v>3</v>
      </c>
      <c r="D10" s="2">
        <v>3</v>
      </c>
      <c r="E10" s="2">
        <f>AVERAGE(L9:L11)</f>
        <v>3.5206666666666671</v>
      </c>
      <c r="G10" s="20">
        <v>2</v>
      </c>
      <c r="H10" s="1">
        <v>-90.400999999999996</v>
      </c>
      <c r="I10" s="18">
        <v>3.6360000000000001</v>
      </c>
      <c r="J10" s="3">
        <v>2</v>
      </c>
      <c r="K10" s="1">
        <v>-90.406000000000006</v>
      </c>
      <c r="L10" s="18">
        <v>3.4670000000000001</v>
      </c>
      <c r="M10" s="3">
        <v>2</v>
      </c>
      <c r="N10" s="1">
        <v>-90</v>
      </c>
      <c r="O10" s="18">
        <v>3.3769999999999998</v>
      </c>
    </row>
    <row r="11" spans="1:15" x14ac:dyDescent="0.3">
      <c r="A11" s="2">
        <v>1263</v>
      </c>
      <c r="B11" s="2">
        <v>3</v>
      </c>
      <c r="C11" s="2">
        <v>3</v>
      </c>
      <c r="D11" s="2">
        <v>3</v>
      </c>
      <c r="E11" s="2">
        <f>AVERAGE(L13:L15)</f>
        <v>3.504</v>
      </c>
      <c r="G11" s="20">
        <v>3</v>
      </c>
      <c r="H11" s="1">
        <v>-120.343</v>
      </c>
      <c r="I11" s="18">
        <v>3.6230000000000002</v>
      </c>
      <c r="J11" s="3">
        <v>3</v>
      </c>
      <c r="K11" s="1">
        <v>-120.833</v>
      </c>
      <c r="L11" s="18">
        <v>3.694</v>
      </c>
      <c r="M11" s="3">
        <v>3</v>
      </c>
      <c r="N11" s="1">
        <v>-120.774</v>
      </c>
      <c r="O11" s="18">
        <v>3.3959999999999999</v>
      </c>
    </row>
    <row r="12" spans="1:15" x14ac:dyDescent="0.3">
      <c r="A12" s="2">
        <v>1264</v>
      </c>
      <c r="B12" s="2">
        <v>1</v>
      </c>
      <c r="C12" s="2">
        <v>3</v>
      </c>
      <c r="D12" s="2">
        <v>3</v>
      </c>
      <c r="E12" s="2">
        <f>AVERAGE(L17:L22)</f>
        <v>3.6886666666666668</v>
      </c>
      <c r="G12" s="20" t="s">
        <v>13</v>
      </c>
      <c r="H12" s="1"/>
      <c r="I12" s="18"/>
      <c r="J12" s="3" t="s">
        <v>20</v>
      </c>
      <c r="K12" s="1"/>
      <c r="L12" s="18"/>
      <c r="M12" s="3" t="s">
        <v>23</v>
      </c>
      <c r="N12" s="1"/>
      <c r="O12" s="18"/>
    </row>
    <row r="13" spans="1:15" x14ac:dyDescent="0.3">
      <c r="A13" s="2">
        <v>1264</v>
      </c>
      <c r="B13" s="2">
        <v>2</v>
      </c>
      <c r="C13" s="2">
        <v>3</v>
      </c>
      <c r="D13" s="2">
        <v>3</v>
      </c>
      <c r="E13" s="2">
        <f>AVERAGE(L24:L26)</f>
        <v>3.625</v>
      </c>
      <c r="G13" s="20">
        <v>1</v>
      </c>
      <c r="H13" s="1">
        <v>-40.03</v>
      </c>
      <c r="I13" s="18">
        <v>3.32</v>
      </c>
      <c r="J13" s="3">
        <v>1</v>
      </c>
      <c r="K13" s="1">
        <v>-40.006</v>
      </c>
      <c r="L13" s="18">
        <v>3.5960000000000001</v>
      </c>
      <c r="M13" s="3">
        <v>1</v>
      </c>
      <c r="N13" s="1">
        <v>-40.179000000000002</v>
      </c>
      <c r="O13" s="18">
        <v>3.8620000000000001</v>
      </c>
    </row>
    <row r="14" spans="1:15" x14ac:dyDescent="0.3">
      <c r="A14" s="9">
        <v>1264</v>
      </c>
      <c r="B14" s="9">
        <v>3</v>
      </c>
      <c r="C14" s="2">
        <v>3</v>
      </c>
      <c r="D14" s="2">
        <v>3</v>
      </c>
      <c r="E14" s="9">
        <f>AVERAGE(L28:L30)</f>
        <v>3.3529999999999998</v>
      </c>
      <c r="G14" s="20">
        <v>2</v>
      </c>
      <c r="H14" s="1">
        <v>-90</v>
      </c>
      <c r="I14" s="18">
        <v>3.661</v>
      </c>
      <c r="J14" s="3">
        <v>2</v>
      </c>
      <c r="K14" s="1">
        <v>-90</v>
      </c>
      <c r="L14" s="18">
        <v>3.3439999999999999</v>
      </c>
      <c r="M14" s="3">
        <v>2</v>
      </c>
      <c r="N14" s="1">
        <v>-90</v>
      </c>
      <c r="O14" s="18">
        <v>3.3109999999999999</v>
      </c>
    </row>
    <row r="15" spans="1:15" x14ac:dyDescent="0.3">
      <c r="A15" s="2">
        <v>1433</v>
      </c>
      <c r="B15" s="9">
        <v>1</v>
      </c>
      <c r="C15" s="2">
        <v>3</v>
      </c>
      <c r="D15" s="2">
        <v>3</v>
      </c>
      <c r="E15" s="9">
        <f>AVERAGE(O5:O7)</f>
        <v>3.5486666666666671</v>
      </c>
      <c r="G15" s="20">
        <v>3</v>
      </c>
      <c r="H15" s="1">
        <v>-120.12</v>
      </c>
      <c r="I15" s="18">
        <v>3.85</v>
      </c>
      <c r="J15" s="3">
        <v>3</v>
      </c>
      <c r="K15" s="1">
        <v>-120.626</v>
      </c>
      <c r="L15" s="18">
        <v>3.5720000000000001</v>
      </c>
      <c r="M15" s="3">
        <v>3</v>
      </c>
      <c r="N15" s="1">
        <v>-120.669</v>
      </c>
      <c r="O15" s="18">
        <v>3.278</v>
      </c>
    </row>
    <row r="16" spans="1:15" x14ac:dyDescent="0.3">
      <c r="A16" s="2">
        <v>1433</v>
      </c>
      <c r="B16" s="2">
        <v>2</v>
      </c>
      <c r="C16" s="2">
        <v>3</v>
      </c>
      <c r="D16" s="2">
        <v>3</v>
      </c>
      <c r="E16" s="1">
        <f>AVERAGE(O9:O11)</f>
        <v>3.3116666666666661</v>
      </c>
      <c r="G16" s="20" t="s">
        <v>26</v>
      </c>
      <c r="H16" s="1"/>
      <c r="I16" s="18"/>
      <c r="J16" s="3" t="s">
        <v>14</v>
      </c>
      <c r="K16" s="1"/>
      <c r="L16" s="18"/>
      <c r="M16" s="3" t="s">
        <v>33</v>
      </c>
      <c r="N16" s="1"/>
      <c r="O16" s="18"/>
    </row>
    <row r="17" spans="1:16" x14ac:dyDescent="0.3">
      <c r="A17" s="2">
        <v>1433</v>
      </c>
      <c r="B17" s="2">
        <v>3</v>
      </c>
      <c r="C17" s="2">
        <v>3</v>
      </c>
      <c r="D17" s="2">
        <v>3</v>
      </c>
      <c r="E17" s="1">
        <f>AVERAGE(O13:O15)</f>
        <v>3.4836666666666667</v>
      </c>
      <c r="G17" s="20">
        <v>1</v>
      </c>
      <c r="H17" s="1">
        <v>-40.35</v>
      </c>
      <c r="I17" s="18">
        <v>3.6160000000000001</v>
      </c>
      <c r="J17" s="3">
        <v>1</v>
      </c>
      <c r="K17" s="1">
        <v>-40.267000000000003</v>
      </c>
      <c r="L17" s="18">
        <v>3.6230000000000002</v>
      </c>
      <c r="M17" s="3">
        <v>1</v>
      </c>
      <c r="N17" s="1">
        <v>-40.411999999999999</v>
      </c>
      <c r="O17" s="18">
        <v>3.7679999999999998</v>
      </c>
    </row>
    <row r="18" spans="1:16" x14ac:dyDescent="0.3">
      <c r="A18" s="2" t="s">
        <v>31</v>
      </c>
      <c r="B18" s="9">
        <v>1</v>
      </c>
      <c r="C18" s="2">
        <v>3</v>
      </c>
      <c r="D18" s="2">
        <v>3</v>
      </c>
      <c r="E18" s="1">
        <f>AVERAGE(O17:O22)</f>
        <v>3.8343333333333334</v>
      </c>
      <c r="G18" s="20"/>
      <c r="H18" s="1"/>
      <c r="I18" s="18"/>
      <c r="J18" s="3"/>
      <c r="K18" s="1"/>
      <c r="L18" s="18"/>
      <c r="M18" s="3"/>
      <c r="N18" s="1"/>
      <c r="O18" s="18"/>
    </row>
    <row r="19" spans="1:16" x14ac:dyDescent="0.3">
      <c r="A19" s="2" t="s">
        <v>31</v>
      </c>
      <c r="B19" s="2">
        <v>2</v>
      </c>
      <c r="C19" s="2">
        <v>3</v>
      </c>
      <c r="D19" s="2">
        <v>3</v>
      </c>
      <c r="E19" s="1">
        <f>AVERAGE(O24:O26)</f>
        <v>3.2003333333333335</v>
      </c>
      <c r="G19" s="20"/>
      <c r="H19" s="1"/>
      <c r="I19" s="18"/>
      <c r="J19" s="3"/>
      <c r="K19" s="1"/>
      <c r="L19" s="18"/>
      <c r="M19" s="3"/>
      <c r="N19" s="1"/>
      <c r="O19" s="18"/>
    </row>
    <row r="20" spans="1:16" x14ac:dyDescent="0.3">
      <c r="A20" s="2" t="s">
        <v>31</v>
      </c>
      <c r="B20" s="2">
        <v>3</v>
      </c>
      <c r="C20" s="2">
        <v>3</v>
      </c>
      <c r="D20" s="2">
        <v>3</v>
      </c>
      <c r="E20" s="1">
        <f>AVERAGE(O28:O30)</f>
        <v>3.3673333333333333</v>
      </c>
      <c r="G20" s="20"/>
      <c r="H20" s="1"/>
      <c r="I20" s="18"/>
      <c r="J20" s="3"/>
      <c r="K20" s="1"/>
      <c r="L20" s="18"/>
      <c r="M20" s="3"/>
      <c r="N20" s="1"/>
      <c r="O20" s="18"/>
    </row>
    <row r="21" spans="1:16" x14ac:dyDescent="0.3">
      <c r="A21" s="10"/>
      <c r="B21" s="10"/>
      <c r="C21" s="10"/>
      <c r="D21" s="10"/>
      <c r="E21" s="10"/>
      <c r="G21" s="20">
        <v>2</v>
      </c>
      <c r="H21" s="1">
        <v>-90</v>
      </c>
      <c r="I21" s="18">
        <v>3.5609999999999999</v>
      </c>
      <c r="J21" s="3">
        <v>2</v>
      </c>
      <c r="K21" s="1">
        <v>-90</v>
      </c>
      <c r="L21" s="18">
        <v>3.74</v>
      </c>
      <c r="M21" s="3">
        <v>2</v>
      </c>
      <c r="N21" s="1">
        <v>-90</v>
      </c>
      <c r="O21" s="18">
        <v>3.9340000000000002</v>
      </c>
    </row>
    <row r="22" spans="1:16" x14ac:dyDescent="0.3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G22" s="20">
        <v>3</v>
      </c>
      <c r="H22" s="1">
        <v>-120.069</v>
      </c>
      <c r="I22" s="18">
        <v>3.7480000000000002</v>
      </c>
      <c r="J22" s="3">
        <v>3</v>
      </c>
      <c r="K22" s="1">
        <v>-120.619</v>
      </c>
      <c r="L22" s="18">
        <v>3.7029999999999998</v>
      </c>
      <c r="M22" s="3">
        <v>3</v>
      </c>
      <c r="N22" s="1">
        <v>-120.879</v>
      </c>
      <c r="O22" s="18">
        <v>3.8010000000000002</v>
      </c>
    </row>
    <row r="23" spans="1:16" x14ac:dyDescent="0.3">
      <c r="A23" s="2" t="s">
        <v>17</v>
      </c>
      <c r="B23" s="2">
        <v>1</v>
      </c>
      <c r="C23" s="2">
        <v>3</v>
      </c>
      <c r="D23" s="2">
        <v>4</v>
      </c>
      <c r="E23" s="2">
        <f>AVERAGE(I34:I36)</f>
        <v>5.1413333333333329</v>
      </c>
      <c r="G23" s="20" t="s">
        <v>8</v>
      </c>
      <c r="H23" s="1"/>
      <c r="I23" s="18"/>
      <c r="J23" s="3" t="s">
        <v>15</v>
      </c>
      <c r="K23" s="1"/>
      <c r="L23" s="18"/>
      <c r="M23" s="3" t="s">
        <v>34</v>
      </c>
      <c r="N23" s="1"/>
      <c r="O23" s="18"/>
    </row>
    <row r="24" spans="1:16" x14ac:dyDescent="0.3">
      <c r="A24" s="2" t="s">
        <v>17</v>
      </c>
      <c r="B24" s="2">
        <v>2</v>
      </c>
      <c r="C24" s="2">
        <v>3</v>
      </c>
      <c r="D24" s="2">
        <v>4</v>
      </c>
      <c r="E24" s="2">
        <f>AVERAGE(I38:I40)</f>
        <v>4.9386666666666672</v>
      </c>
      <c r="G24" s="20">
        <v>1</v>
      </c>
      <c r="H24" s="1">
        <v>-40.892000000000003</v>
      </c>
      <c r="I24" s="18">
        <v>3.13</v>
      </c>
      <c r="J24" s="3">
        <v>1</v>
      </c>
      <c r="K24" s="1">
        <v>-40.600999999999999</v>
      </c>
      <c r="L24" s="18">
        <v>3.5979999999999999</v>
      </c>
      <c r="M24" s="3">
        <v>1</v>
      </c>
      <c r="N24" s="1">
        <v>-40.469000000000001</v>
      </c>
      <c r="O24" s="18">
        <v>3.081</v>
      </c>
    </row>
    <row r="25" spans="1:16" x14ac:dyDescent="0.3">
      <c r="A25" s="2" t="s">
        <v>17</v>
      </c>
      <c r="B25" s="2">
        <v>3</v>
      </c>
      <c r="C25" s="2">
        <v>3</v>
      </c>
      <c r="D25" s="2">
        <v>4</v>
      </c>
      <c r="E25" s="2">
        <f>AVERAGE(I42:I44)</f>
        <v>4.9336666666666664</v>
      </c>
      <c r="G25" s="20">
        <v>2</v>
      </c>
      <c r="H25" s="1">
        <v>-90</v>
      </c>
      <c r="I25" s="18">
        <v>3.0489999999999999</v>
      </c>
      <c r="J25" s="3">
        <v>2</v>
      </c>
      <c r="K25" s="1">
        <v>-90</v>
      </c>
      <c r="L25" s="18">
        <v>3.512</v>
      </c>
      <c r="M25" s="3">
        <v>2</v>
      </c>
      <c r="N25" s="1">
        <v>-90</v>
      </c>
      <c r="O25" s="18">
        <v>3.1970000000000001</v>
      </c>
    </row>
    <row r="26" spans="1:16" x14ac:dyDescent="0.3">
      <c r="A26" s="2">
        <v>1260</v>
      </c>
      <c r="B26" s="2">
        <v>1</v>
      </c>
      <c r="C26" s="2">
        <v>3</v>
      </c>
      <c r="D26" s="2">
        <v>4</v>
      </c>
      <c r="E26" s="2">
        <f>AVERAGE(I46:I48)</f>
        <v>4.2979999999999992</v>
      </c>
      <c r="G26" s="20">
        <v>3</v>
      </c>
      <c r="H26" s="1">
        <v>-124.303</v>
      </c>
      <c r="I26" s="18">
        <v>3.1589999999999998</v>
      </c>
      <c r="J26" s="3">
        <v>3</v>
      </c>
      <c r="K26" s="1">
        <v>-121.218</v>
      </c>
      <c r="L26" s="18">
        <v>3.7650000000000001</v>
      </c>
      <c r="M26" s="3">
        <v>3</v>
      </c>
      <c r="N26" s="1">
        <v>-120.867</v>
      </c>
      <c r="O26" s="18">
        <v>3.323</v>
      </c>
    </row>
    <row r="27" spans="1:16" x14ac:dyDescent="0.3">
      <c r="A27" s="2">
        <v>1260</v>
      </c>
      <c r="B27" s="2">
        <v>2</v>
      </c>
      <c r="C27" s="2">
        <v>3</v>
      </c>
      <c r="D27" s="2">
        <v>4</v>
      </c>
      <c r="E27" s="2">
        <f>AVERAGE(I50:I52)</f>
        <v>4.1833333333333336</v>
      </c>
      <c r="G27" s="20" t="s">
        <v>9</v>
      </c>
      <c r="H27" s="1"/>
      <c r="I27" s="18"/>
      <c r="J27" s="3" t="s">
        <v>16</v>
      </c>
      <c r="K27" s="1"/>
      <c r="L27" s="18"/>
      <c r="M27" s="3" t="s">
        <v>35</v>
      </c>
      <c r="N27" s="1"/>
      <c r="O27" s="18"/>
    </row>
    <row r="28" spans="1:16" x14ac:dyDescent="0.3">
      <c r="A28" s="2">
        <v>1260</v>
      </c>
      <c r="B28" s="2">
        <v>3</v>
      </c>
      <c r="C28" s="2">
        <v>3</v>
      </c>
      <c r="D28" s="2">
        <v>4</v>
      </c>
      <c r="E28" s="2">
        <f>AVERAGE(I54:I56)</f>
        <v>4.942333333333333</v>
      </c>
      <c r="G28" s="20">
        <v>1</v>
      </c>
      <c r="H28" s="1">
        <v>-40.895000000000003</v>
      </c>
      <c r="I28" s="18">
        <v>3.6139999999999999</v>
      </c>
      <c r="J28" s="3">
        <v>1</v>
      </c>
      <c r="K28" s="1">
        <v>-38.746000000000002</v>
      </c>
      <c r="L28" s="18">
        <v>3.3769999999999998</v>
      </c>
      <c r="M28" s="3">
        <v>1</v>
      </c>
      <c r="N28" s="1">
        <v>-40.691000000000003</v>
      </c>
      <c r="O28" s="18">
        <v>3.3940000000000001</v>
      </c>
      <c r="P28" s="34"/>
    </row>
    <row r="29" spans="1:16" x14ac:dyDescent="0.3">
      <c r="A29" s="2">
        <v>1263</v>
      </c>
      <c r="B29" s="2">
        <v>1</v>
      </c>
      <c r="C29" s="2">
        <v>3</v>
      </c>
      <c r="D29" s="2">
        <v>4</v>
      </c>
      <c r="E29" s="2">
        <f>AVERAGE(L34:L36)</f>
        <v>4.2783333333333333</v>
      </c>
      <c r="G29" s="20">
        <v>2</v>
      </c>
      <c r="H29" s="1">
        <v>-90</v>
      </c>
      <c r="I29" s="18">
        <v>3.6339999999999999</v>
      </c>
      <c r="J29" s="3">
        <v>2</v>
      </c>
      <c r="K29" s="1">
        <v>-90</v>
      </c>
      <c r="L29" s="18">
        <v>3.2519999999999998</v>
      </c>
      <c r="M29" s="3">
        <v>2</v>
      </c>
      <c r="N29" s="1">
        <v>-90</v>
      </c>
      <c r="O29" s="18">
        <v>3.3279999999999998</v>
      </c>
    </row>
    <row r="30" spans="1:16" x14ac:dyDescent="0.3">
      <c r="A30" s="2">
        <v>1263</v>
      </c>
      <c r="B30" s="2"/>
      <c r="C30" s="2">
        <v>3</v>
      </c>
      <c r="D30" s="2">
        <v>4</v>
      </c>
      <c r="E30" s="2">
        <f>AVERAGE(L38:L40)</f>
        <v>4.2970000000000006</v>
      </c>
      <c r="G30" s="20">
        <v>3</v>
      </c>
      <c r="H30" s="1">
        <v>-120.483</v>
      </c>
      <c r="I30" s="18">
        <v>3.99</v>
      </c>
      <c r="J30" s="3">
        <v>3</v>
      </c>
      <c r="K30" s="1">
        <v>-121.43</v>
      </c>
      <c r="L30" s="18">
        <v>3.43</v>
      </c>
      <c r="M30" s="3">
        <v>3</v>
      </c>
      <c r="N30" s="1">
        <v>-120.29600000000001</v>
      </c>
      <c r="O30" s="18">
        <v>3.38</v>
      </c>
    </row>
    <row r="31" spans="1:16" x14ac:dyDescent="0.3">
      <c r="A31" s="2">
        <v>1263</v>
      </c>
      <c r="B31" s="2">
        <v>3</v>
      </c>
      <c r="C31" s="2">
        <v>3</v>
      </c>
      <c r="D31" s="2">
        <v>4</v>
      </c>
      <c r="E31" s="2">
        <f>AVERAGE(L42:L44)</f>
        <v>4.5956666666666672</v>
      </c>
      <c r="O31" s="28"/>
    </row>
    <row r="32" spans="1:16" x14ac:dyDescent="0.3">
      <c r="A32" s="9">
        <v>1264</v>
      </c>
      <c r="B32" s="9">
        <v>1</v>
      </c>
      <c r="C32" s="2">
        <v>3</v>
      </c>
      <c r="D32" s="2">
        <v>4</v>
      </c>
      <c r="E32" s="9">
        <f>AVERAGE(L46:L48)</f>
        <v>4.7103333333333337</v>
      </c>
      <c r="G32" s="15" t="s">
        <v>24</v>
      </c>
      <c r="O32" s="28"/>
    </row>
    <row r="33" spans="1:15" x14ac:dyDescent="0.3">
      <c r="A33" s="9">
        <v>1264</v>
      </c>
      <c r="B33" s="9">
        <v>2</v>
      </c>
      <c r="C33" s="2">
        <v>3</v>
      </c>
      <c r="D33" s="2">
        <v>4</v>
      </c>
      <c r="E33" s="9">
        <f>AVERAGE(L50:L52)</f>
        <v>4.6646666666666663</v>
      </c>
      <c r="G33" s="1" t="s">
        <v>11</v>
      </c>
      <c r="H33" s="16" t="s">
        <v>5</v>
      </c>
      <c r="I33" s="17" t="s">
        <v>6</v>
      </c>
      <c r="J33" s="3" t="s">
        <v>18</v>
      </c>
      <c r="K33" s="16" t="s">
        <v>5</v>
      </c>
      <c r="L33" s="17" t="s">
        <v>6</v>
      </c>
      <c r="M33" s="19" t="s">
        <v>21</v>
      </c>
      <c r="N33" s="16" t="s">
        <v>5</v>
      </c>
      <c r="O33" s="17" t="s">
        <v>6</v>
      </c>
    </row>
    <row r="34" spans="1:15" x14ac:dyDescent="0.3">
      <c r="A34" s="9">
        <v>1264</v>
      </c>
      <c r="B34" s="9">
        <v>3</v>
      </c>
      <c r="C34" s="2">
        <v>3</v>
      </c>
      <c r="D34" s="2">
        <v>4</v>
      </c>
      <c r="E34" s="9">
        <f>AVERAGE(L54:L56)</f>
        <v>4.8046666666666669</v>
      </c>
      <c r="G34" s="20">
        <v>1</v>
      </c>
      <c r="H34" s="1">
        <v>40.600999999999999</v>
      </c>
      <c r="I34" s="18">
        <v>5.1459999999999999</v>
      </c>
      <c r="J34" s="3">
        <v>1</v>
      </c>
      <c r="K34" s="1">
        <v>42.018999999999998</v>
      </c>
      <c r="L34" s="18">
        <v>4.2480000000000002</v>
      </c>
      <c r="M34" s="3">
        <v>1</v>
      </c>
      <c r="N34">
        <v>42.85</v>
      </c>
      <c r="O34" s="28">
        <v>4.859</v>
      </c>
    </row>
    <row r="35" spans="1:15" x14ac:dyDescent="0.3">
      <c r="A35" s="2">
        <v>1433</v>
      </c>
      <c r="B35" s="9">
        <v>1</v>
      </c>
      <c r="C35" s="2">
        <v>3</v>
      </c>
      <c r="D35" s="2">
        <v>4</v>
      </c>
      <c r="E35" s="9">
        <f>AVERAGE(O34:O36)</f>
        <v>4.9329999999999998</v>
      </c>
      <c r="G35" s="20">
        <v>2</v>
      </c>
      <c r="H35" s="1">
        <v>0</v>
      </c>
      <c r="I35" s="18">
        <v>5.2329999999999997</v>
      </c>
      <c r="J35" s="3">
        <v>2</v>
      </c>
      <c r="K35" s="1">
        <v>0</v>
      </c>
      <c r="L35" s="18">
        <v>4.4379999999999997</v>
      </c>
      <c r="M35" s="3">
        <v>2</v>
      </c>
      <c r="N35">
        <v>0</v>
      </c>
      <c r="O35" s="28">
        <v>5.016</v>
      </c>
    </row>
    <row r="36" spans="1:15" x14ac:dyDescent="0.3">
      <c r="A36" s="2">
        <v>1433</v>
      </c>
      <c r="B36" s="2">
        <v>2</v>
      </c>
      <c r="C36" s="2">
        <v>3</v>
      </c>
      <c r="D36" s="2">
        <v>4</v>
      </c>
      <c r="E36" s="1">
        <f>AVERAGE(O38:O40)</f>
        <v>4.5793333333333335</v>
      </c>
      <c r="G36" s="20">
        <v>3</v>
      </c>
      <c r="H36" s="1">
        <v>-22.782</v>
      </c>
      <c r="I36" s="18">
        <v>5.0449999999999999</v>
      </c>
      <c r="J36" s="3">
        <v>3</v>
      </c>
      <c r="K36" s="1">
        <v>-22.122</v>
      </c>
      <c r="L36" s="18">
        <v>4.149</v>
      </c>
      <c r="M36" s="3">
        <v>3</v>
      </c>
      <c r="N36">
        <v>-20.332999999999998</v>
      </c>
      <c r="O36" s="28">
        <v>4.9240000000000004</v>
      </c>
    </row>
    <row r="37" spans="1:15" x14ac:dyDescent="0.3">
      <c r="A37" s="2">
        <v>1433</v>
      </c>
      <c r="B37" s="2">
        <v>3</v>
      </c>
      <c r="C37" s="2">
        <v>3</v>
      </c>
      <c r="D37" s="2">
        <v>4</v>
      </c>
      <c r="E37" s="1">
        <f>AVERAGE(O42:O44)</f>
        <v>4.7926666666666664</v>
      </c>
      <c r="G37" s="20" t="s">
        <v>12</v>
      </c>
      <c r="H37" s="1"/>
      <c r="I37" s="18"/>
      <c r="J37" s="3" t="s">
        <v>19</v>
      </c>
      <c r="K37" s="1"/>
      <c r="L37" s="18"/>
      <c r="M37" s="3" t="s">
        <v>22</v>
      </c>
      <c r="N37" s="1"/>
      <c r="O37" s="18"/>
    </row>
    <row r="38" spans="1:15" x14ac:dyDescent="0.3">
      <c r="A38" s="2" t="s">
        <v>31</v>
      </c>
      <c r="B38" s="9">
        <v>1</v>
      </c>
      <c r="C38" s="2">
        <v>3</v>
      </c>
      <c r="D38" s="2">
        <v>4</v>
      </c>
      <c r="E38" s="1">
        <f>AVERAGE(O46:O48)</f>
        <v>4.9743333333333331</v>
      </c>
      <c r="G38" s="20">
        <v>1</v>
      </c>
      <c r="H38" s="1">
        <v>40.090000000000003</v>
      </c>
      <c r="I38" s="18">
        <v>4.8029999999999999</v>
      </c>
      <c r="J38" s="3">
        <v>1</v>
      </c>
      <c r="K38" s="1">
        <v>38.53</v>
      </c>
      <c r="L38" s="18">
        <v>4.3140000000000001</v>
      </c>
      <c r="M38" s="3">
        <v>1</v>
      </c>
      <c r="N38">
        <v>44.145000000000003</v>
      </c>
      <c r="O38" s="28">
        <v>4.4420000000000002</v>
      </c>
    </row>
    <row r="39" spans="1:15" x14ac:dyDescent="0.3">
      <c r="A39" s="2" t="s">
        <v>31</v>
      </c>
      <c r="B39" s="2">
        <v>2</v>
      </c>
      <c r="C39" s="2">
        <v>3</v>
      </c>
      <c r="D39" s="2">
        <v>4</v>
      </c>
      <c r="E39" s="1">
        <f>AVERAGE(O50:O52)</f>
        <v>4.2533333333333339</v>
      </c>
      <c r="G39" s="20">
        <v>2</v>
      </c>
      <c r="H39" s="1">
        <v>0</v>
      </c>
      <c r="I39" s="18">
        <v>4.9770000000000003</v>
      </c>
      <c r="J39" s="3">
        <v>2</v>
      </c>
      <c r="K39" s="1">
        <v>0</v>
      </c>
      <c r="L39" s="18">
        <v>4.2190000000000003</v>
      </c>
      <c r="M39" s="3">
        <v>2</v>
      </c>
      <c r="N39">
        <v>-0.28799999999999998</v>
      </c>
      <c r="O39" s="28">
        <v>4.6639999999999997</v>
      </c>
    </row>
    <row r="40" spans="1:15" x14ac:dyDescent="0.3">
      <c r="A40" s="2" t="s">
        <v>31</v>
      </c>
      <c r="B40" s="2">
        <v>3</v>
      </c>
      <c r="C40" s="2">
        <v>3</v>
      </c>
      <c r="D40" s="2">
        <v>4</v>
      </c>
      <c r="E40" s="1">
        <f>AVERAGE(O54:O56)</f>
        <v>4.2293333333333329</v>
      </c>
      <c r="G40" s="20">
        <v>3</v>
      </c>
      <c r="H40" s="1">
        <v>-22.538</v>
      </c>
      <c r="I40" s="18">
        <v>5.0359999999999996</v>
      </c>
      <c r="J40" s="3">
        <v>3</v>
      </c>
      <c r="K40" s="1">
        <v>-22.335000000000001</v>
      </c>
      <c r="L40" s="18">
        <v>4.3579999999999997</v>
      </c>
      <c r="M40" s="3">
        <v>3</v>
      </c>
      <c r="N40">
        <v>-22.931999999999999</v>
      </c>
      <c r="O40" s="28">
        <v>4.6319999999999997</v>
      </c>
    </row>
    <row r="41" spans="1:15" x14ac:dyDescent="0.3">
      <c r="A41" s="10"/>
      <c r="B41" s="10"/>
      <c r="C41" s="10"/>
      <c r="D41" s="10"/>
      <c r="E41" s="10"/>
      <c r="G41" s="20" t="s">
        <v>13</v>
      </c>
      <c r="H41" s="1"/>
      <c r="I41" s="18"/>
      <c r="J41" s="3" t="s">
        <v>20</v>
      </c>
      <c r="K41" s="1"/>
      <c r="L41" s="18"/>
      <c r="M41" s="3" t="s">
        <v>23</v>
      </c>
      <c r="N41" s="1"/>
      <c r="O41" s="18"/>
    </row>
    <row r="42" spans="1:15" x14ac:dyDescent="0.3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G42" s="20">
        <v>1</v>
      </c>
      <c r="H42" s="1">
        <v>40.396000000000001</v>
      </c>
      <c r="I42" s="18">
        <v>4.9160000000000004</v>
      </c>
      <c r="J42" s="3">
        <v>1</v>
      </c>
      <c r="K42" s="1">
        <v>41.405999999999999</v>
      </c>
      <c r="L42" s="18">
        <v>4.5830000000000002</v>
      </c>
      <c r="M42" s="3">
        <v>1</v>
      </c>
      <c r="N42">
        <v>40.950000000000003</v>
      </c>
      <c r="O42" s="28">
        <v>5.0060000000000002</v>
      </c>
    </row>
    <row r="43" spans="1:15" x14ac:dyDescent="0.3">
      <c r="A43" s="2" t="s">
        <v>17</v>
      </c>
      <c r="B43" s="2">
        <v>1</v>
      </c>
      <c r="C43" s="2">
        <v>3</v>
      </c>
      <c r="D43" s="2">
        <v>5</v>
      </c>
      <c r="E43" s="2">
        <f>AVERAGE(I69:I71)</f>
        <v>6.1350000000000007</v>
      </c>
      <c r="G43" s="20">
        <v>2</v>
      </c>
      <c r="H43" s="1">
        <v>0</v>
      </c>
      <c r="I43" s="18">
        <v>4.8140000000000001</v>
      </c>
      <c r="J43" s="3">
        <v>2</v>
      </c>
      <c r="K43" s="1">
        <v>0</v>
      </c>
      <c r="L43" s="18">
        <v>4.4379999999999997</v>
      </c>
      <c r="M43" s="3">
        <v>2</v>
      </c>
      <c r="N43">
        <v>0</v>
      </c>
      <c r="O43" s="28">
        <v>4.6879999999999997</v>
      </c>
    </row>
    <row r="44" spans="1:15" x14ac:dyDescent="0.3">
      <c r="A44" s="2" t="s">
        <v>17</v>
      </c>
      <c r="B44" s="2">
        <v>2</v>
      </c>
      <c r="C44" s="2">
        <v>3</v>
      </c>
      <c r="D44" s="2">
        <v>5</v>
      </c>
      <c r="E44" s="2">
        <f>AVERAGE(I73:I75)</f>
        <v>6.4396666666666667</v>
      </c>
      <c r="G44" s="20">
        <v>3</v>
      </c>
      <c r="H44" s="1">
        <v>-20.678999999999998</v>
      </c>
      <c r="I44" s="18">
        <v>5.0709999999999997</v>
      </c>
      <c r="J44" s="3">
        <v>3</v>
      </c>
      <c r="K44" s="1">
        <v>-20.335999999999999</v>
      </c>
      <c r="L44" s="18">
        <v>4.766</v>
      </c>
      <c r="M44" s="3">
        <v>3</v>
      </c>
      <c r="N44">
        <v>-24.855</v>
      </c>
      <c r="O44" s="28">
        <v>4.6840000000000002</v>
      </c>
    </row>
    <row r="45" spans="1:15" x14ac:dyDescent="0.3">
      <c r="A45" s="2" t="s">
        <v>17</v>
      </c>
      <c r="B45" s="2">
        <v>3</v>
      </c>
      <c r="C45" s="2">
        <v>3</v>
      </c>
      <c r="D45" s="2">
        <v>5</v>
      </c>
      <c r="E45" s="2">
        <f>AVERAGE(I77:I79)</f>
        <v>6.9206666666666665</v>
      </c>
      <c r="G45" s="20" t="s">
        <v>26</v>
      </c>
      <c r="H45" s="1"/>
      <c r="I45" s="18"/>
      <c r="J45" s="3" t="s">
        <v>14</v>
      </c>
      <c r="K45" s="1"/>
      <c r="L45" s="18"/>
      <c r="M45" s="3" t="s">
        <v>33</v>
      </c>
      <c r="N45" s="1"/>
      <c r="O45" s="18"/>
    </row>
    <row r="46" spans="1:15" x14ac:dyDescent="0.3">
      <c r="A46" s="2">
        <v>1260</v>
      </c>
      <c r="B46" s="2">
        <v>1</v>
      </c>
      <c r="C46" s="2">
        <v>3</v>
      </c>
      <c r="D46" s="2">
        <v>5</v>
      </c>
      <c r="E46" s="2">
        <f>AVERAGE(I81:I83)</f>
        <v>5.1816666666666675</v>
      </c>
      <c r="G46" s="20">
        <v>1</v>
      </c>
      <c r="H46" s="1">
        <v>41.186</v>
      </c>
      <c r="I46" s="18">
        <v>4.3529999999999998</v>
      </c>
      <c r="J46" s="3">
        <v>1</v>
      </c>
      <c r="K46" s="1">
        <v>41.073999999999998</v>
      </c>
      <c r="L46" s="18">
        <v>4.6639999999999997</v>
      </c>
      <c r="M46" s="3">
        <v>1</v>
      </c>
      <c r="N46" s="1">
        <v>40.805999999999997</v>
      </c>
      <c r="O46" s="18">
        <v>5.0640000000000001</v>
      </c>
    </row>
    <row r="47" spans="1:15" x14ac:dyDescent="0.3">
      <c r="A47" s="2">
        <v>1260</v>
      </c>
      <c r="B47" s="2">
        <v>2</v>
      </c>
      <c r="C47" s="2">
        <v>3</v>
      </c>
      <c r="D47" s="2">
        <v>5</v>
      </c>
      <c r="E47" s="2">
        <f>AVERAGE(I85:I87)</f>
        <v>5.2656666666666672</v>
      </c>
      <c r="G47" s="20">
        <v>2</v>
      </c>
      <c r="H47" s="1">
        <v>0</v>
      </c>
      <c r="I47" s="18">
        <v>4.2830000000000004</v>
      </c>
      <c r="J47" s="3">
        <v>2</v>
      </c>
      <c r="K47" s="1">
        <v>0.38500000000000001</v>
      </c>
      <c r="L47" s="18">
        <v>4.8070000000000004</v>
      </c>
      <c r="M47" s="3">
        <v>2</v>
      </c>
      <c r="N47" s="1">
        <v>0.27900000000000003</v>
      </c>
      <c r="O47" s="18">
        <v>4.8810000000000002</v>
      </c>
    </row>
    <row r="48" spans="1:15" x14ac:dyDescent="0.3">
      <c r="A48" s="2">
        <v>1260</v>
      </c>
      <c r="B48" s="2">
        <v>3</v>
      </c>
      <c r="C48" s="2">
        <v>3</v>
      </c>
      <c r="D48" s="2">
        <v>5</v>
      </c>
      <c r="E48" s="2">
        <f>AVERAGE(I89:I91)</f>
        <v>6.0839999999999996</v>
      </c>
      <c r="G48" s="20">
        <v>3</v>
      </c>
      <c r="H48" s="1">
        <v>-21.251000000000001</v>
      </c>
      <c r="I48" s="18">
        <v>4.258</v>
      </c>
      <c r="J48" s="3">
        <v>3</v>
      </c>
      <c r="K48" s="1">
        <v>-21.949000000000002</v>
      </c>
      <c r="L48" s="18">
        <v>4.66</v>
      </c>
      <c r="M48" s="3">
        <v>3</v>
      </c>
      <c r="N48" s="1">
        <v>-23.99</v>
      </c>
      <c r="O48" s="18">
        <v>4.9779999999999998</v>
      </c>
    </row>
    <row r="49" spans="1:25" x14ac:dyDescent="0.3">
      <c r="A49" s="2">
        <v>1263</v>
      </c>
      <c r="B49" s="2">
        <v>1</v>
      </c>
      <c r="C49" s="2">
        <v>3</v>
      </c>
      <c r="D49" s="2">
        <v>5</v>
      </c>
      <c r="E49" s="2">
        <f>AVERAGE(L69:L71)</f>
        <v>5.0883333333333338</v>
      </c>
      <c r="G49" s="20" t="s">
        <v>8</v>
      </c>
      <c r="H49" s="1"/>
      <c r="I49" s="18"/>
      <c r="J49" s="3" t="s">
        <v>15</v>
      </c>
      <c r="K49" s="1"/>
      <c r="L49" s="18"/>
      <c r="M49" s="3" t="s">
        <v>34</v>
      </c>
      <c r="N49" s="1"/>
      <c r="O49" s="18"/>
    </row>
    <row r="50" spans="1:25" x14ac:dyDescent="0.3">
      <c r="A50" s="2">
        <v>1263</v>
      </c>
      <c r="B50" s="2">
        <v>2</v>
      </c>
      <c r="C50" s="2">
        <v>3</v>
      </c>
      <c r="D50" s="2">
        <v>5</v>
      </c>
      <c r="E50" s="2">
        <f>AVERAGE(L73:L75)</f>
        <v>5.4653333333333336</v>
      </c>
      <c r="G50" s="20">
        <v>1</v>
      </c>
      <c r="H50" s="1">
        <v>42.244999999999997</v>
      </c>
      <c r="I50" s="18">
        <v>4.17</v>
      </c>
      <c r="J50" s="3">
        <v>1</v>
      </c>
      <c r="K50" s="1">
        <v>40.689</v>
      </c>
      <c r="L50" s="18">
        <v>4.5519999999999996</v>
      </c>
      <c r="M50" s="3">
        <v>1</v>
      </c>
      <c r="N50" s="1">
        <v>41.606999999999999</v>
      </c>
      <c r="O50" s="18">
        <v>4.2670000000000003</v>
      </c>
    </row>
    <row r="51" spans="1:25" x14ac:dyDescent="0.3">
      <c r="A51" s="2">
        <v>1263</v>
      </c>
      <c r="B51" s="2">
        <v>3</v>
      </c>
      <c r="C51" s="2">
        <v>3</v>
      </c>
      <c r="D51" s="2">
        <v>5</v>
      </c>
      <c r="E51" s="2">
        <f>AVERAGE(L77:L79)</f>
        <v>6.2726666666666659</v>
      </c>
      <c r="G51" s="20">
        <v>2</v>
      </c>
      <c r="H51" s="1">
        <v>0</v>
      </c>
      <c r="I51" s="18">
        <v>4.157</v>
      </c>
      <c r="J51" s="3">
        <v>2</v>
      </c>
      <c r="K51" s="1">
        <v>0</v>
      </c>
      <c r="L51" s="18">
        <v>4.6130000000000004</v>
      </c>
      <c r="M51" s="3">
        <v>2</v>
      </c>
      <c r="N51" s="1">
        <v>0.64400000000000002</v>
      </c>
      <c r="O51" s="18">
        <v>4.2380000000000004</v>
      </c>
    </row>
    <row r="52" spans="1:25" x14ac:dyDescent="0.3">
      <c r="A52" s="2">
        <v>1264</v>
      </c>
      <c r="B52" s="2">
        <v>1</v>
      </c>
      <c r="C52" s="2">
        <v>3</v>
      </c>
      <c r="D52" s="2">
        <v>5</v>
      </c>
      <c r="E52" s="2">
        <f>AVERAGE(L81:L83)</f>
        <v>5.2896666666666663</v>
      </c>
      <c r="G52" s="20">
        <v>3</v>
      </c>
      <c r="H52" s="1">
        <v>-22.356999999999999</v>
      </c>
      <c r="I52" s="18">
        <v>4.2229999999999999</v>
      </c>
      <c r="J52" s="3">
        <v>3</v>
      </c>
      <c r="K52" s="1">
        <v>-20.734999999999999</v>
      </c>
      <c r="L52" s="18">
        <v>4.8289999999999997</v>
      </c>
      <c r="M52" s="3">
        <v>3</v>
      </c>
      <c r="N52" s="1">
        <v>-23.408999999999999</v>
      </c>
      <c r="O52" s="18">
        <v>4.2549999999999999</v>
      </c>
    </row>
    <row r="53" spans="1:25" x14ac:dyDescent="0.3">
      <c r="A53" s="2">
        <v>1264</v>
      </c>
      <c r="B53" s="2">
        <v>2</v>
      </c>
      <c r="C53" s="2">
        <v>3</v>
      </c>
      <c r="D53" s="2">
        <v>5</v>
      </c>
      <c r="E53" s="2">
        <f>AVERAGE(L85:L87)</f>
        <v>5.69</v>
      </c>
      <c r="G53" s="20" t="s">
        <v>9</v>
      </c>
      <c r="H53" s="1"/>
      <c r="I53" s="18"/>
      <c r="J53" s="3" t="s">
        <v>16</v>
      </c>
      <c r="K53" s="1"/>
      <c r="L53" s="18"/>
      <c r="M53" s="3" t="s">
        <v>35</v>
      </c>
      <c r="N53" s="1"/>
      <c r="O53" s="18"/>
    </row>
    <row r="54" spans="1:25" x14ac:dyDescent="0.3">
      <c r="A54" s="9">
        <v>1264</v>
      </c>
      <c r="B54" s="9">
        <v>3</v>
      </c>
      <c r="C54" s="2">
        <v>3</v>
      </c>
      <c r="D54" s="2">
        <v>5</v>
      </c>
      <c r="E54" s="9">
        <f>AVERAGE(L89:L91)</f>
        <v>5.9226666666666672</v>
      </c>
      <c r="G54" s="20">
        <v>1</v>
      </c>
      <c r="H54" s="1">
        <v>40.286999999999999</v>
      </c>
      <c r="I54" s="18">
        <v>4.6760000000000002</v>
      </c>
      <c r="J54" s="3">
        <v>1</v>
      </c>
      <c r="K54" s="1">
        <v>43.34</v>
      </c>
      <c r="L54" s="18">
        <v>4.7240000000000002</v>
      </c>
      <c r="M54" s="3">
        <v>1</v>
      </c>
      <c r="N54" s="1">
        <v>41.423999999999999</v>
      </c>
      <c r="O54" s="18">
        <v>4.3179999999999996</v>
      </c>
    </row>
    <row r="55" spans="1:25" x14ac:dyDescent="0.3">
      <c r="A55" s="2">
        <v>1433</v>
      </c>
      <c r="B55" s="9">
        <v>1</v>
      </c>
      <c r="C55" s="2">
        <v>3</v>
      </c>
      <c r="D55" s="2">
        <v>5</v>
      </c>
      <c r="E55" s="9">
        <f>AVERAGE(O69:O71)</f>
        <v>5.992</v>
      </c>
      <c r="G55" s="20">
        <v>2</v>
      </c>
      <c r="H55" s="1">
        <v>0</v>
      </c>
      <c r="I55" s="18">
        <v>4.8899999999999997</v>
      </c>
      <c r="J55" s="3">
        <v>2</v>
      </c>
      <c r="K55" s="1">
        <v>0</v>
      </c>
      <c r="L55" s="18">
        <v>4.694</v>
      </c>
      <c r="M55" s="3">
        <v>2</v>
      </c>
      <c r="N55" s="1">
        <v>0</v>
      </c>
      <c r="O55" s="18">
        <v>4.1429999999999998</v>
      </c>
    </row>
    <row r="56" spans="1:25" x14ac:dyDescent="0.3">
      <c r="A56" s="2">
        <v>1433</v>
      </c>
      <c r="B56" s="2">
        <v>2</v>
      </c>
      <c r="C56" s="2">
        <v>3</v>
      </c>
      <c r="D56" s="2">
        <v>5</v>
      </c>
      <c r="E56" s="1">
        <f>AVERAGE(O73:O75)</f>
        <v>5.8870000000000005</v>
      </c>
      <c r="G56" s="20">
        <v>3</v>
      </c>
      <c r="H56" s="1">
        <v>-20.225000000000001</v>
      </c>
      <c r="I56" s="18">
        <v>5.2610000000000001</v>
      </c>
      <c r="J56" s="3">
        <v>3</v>
      </c>
      <c r="K56" s="1">
        <v>-21.594999999999999</v>
      </c>
      <c r="L56" s="18">
        <v>4.9960000000000004</v>
      </c>
      <c r="M56" s="3">
        <v>3</v>
      </c>
      <c r="N56" s="1">
        <v>-22.521000000000001</v>
      </c>
      <c r="O56" s="18">
        <v>4.2270000000000003</v>
      </c>
    </row>
    <row r="57" spans="1:25" x14ac:dyDescent="0.3">
      <c r="A57" s="2">
        <v>1433</v>
      </c>
      <c r="B57" s="2">
        <v>3</v>
      </c>
      <c r="C57" s="2">
        <v>3</v>
      </c>
      <c r="D57" s="2">
        <v>5</v>
      </c>
      <c r="E57" s="1">
        <f>AVERAGE(O77:O79)</f>
        <v>6.2850000000000001</v>
      </c>
    </row>
    <row r="58" spans="1:25" x14ac:dyDescent="0.3">
      <c r="A58" s="2" t="s">
        <v>31</v>
      </c>
      <c r="B58" s="9">
        <v>1</v>
      </c>
      <c r="C58" s="2">
        <v>3</v>
      </c>
      <c r="D58" s="2">
        <v>5</v>
      </c>
      <c r="E58" s="1">
        <f>AVERAGE(O81:O83)</f>
        <v>5.3573333333333339</v>
      </c>
    </row>
    <row r="59" spans="1:25" x14ac:dyDescent="0.3">
      <c r="A59" s="2" t="s">
        <v>31</v>
      </c>
      <c r="B59" s="2">
        <v>2</v>
      </c>
      <c r="C59" s="2">
        <v>3</v>
      </c>
      <c r="D59" s="2">
        <v>5</v>
      </c>
      <c r="E59" s="1">
        <f>AVERAGE(O85:O87)</f>
        <v>5.2156666666666665</v>
      </c>
    </row>
    <row r="60" spans="1:25" x14ac:dyDescent="0.3">
      <c r="A60" s="2" t="s">
        <v>31</v>
      </c>
      <c r="B60" s="2">
        <v>3</v>
      </c>
      <c r="C60" s="2">
        <v>3</v>
      </c>
      <c r="D60" s="2">
        <v>5</v>
      </c>
      <c r="E60" s="1">
        <f>AVERAGE(O89:O91)</f>
        <v>5.3643333333333336</v>
      </c>
    </row>
    <row r="61" spans="1:25" x14ac:dyDescent="0.3">
      <c r="A61" s="2">
        <v>1098</v>
      </c>
      <c r="B61" s="41">
        <v>1</v>
      </c>
      <c r="C61" s="2">
        <v>3</v>
      </c>
      <c r="D61" s="2">
        <v>5</v>
      </c>
      <c r="E61" s="1">
        <f>AVERAGE(S96:S98)</f>
        <v>6.6629999999999994</v>
      </c>
      <c r="G61" s="20"/>
      <c r="H61" s="1"/>
      <c r="I61" s="18"/>
      <c r="J61" s="3"/>
      <c r="K61" s="1"/>
      <c r="L61" s="18"/>
      <c r="M61" s="3"/>
      <c r="N61" s="1"/>
      <c r="O61" s="1"/>
      <c r="Q61" s="20"/>
      <c r="R61" s="1"/>
      <c r="S61" s="18"/>
      <c r="T61" s="3"/>
      <c r="U61" s="1"/>
      <c r="V61" s="18"/>
      <c r="W61" s="3"/>
      <c r="X61" s="1"/>
      <c r="Y61" s="1"/>
    </row>
    <row r="62" spans="1:25" x14ac:dyDescent="0.3">
      <c r="A62" s="2">
        <v>1098</v>
      </c>
      <c r="B62" s="42">
        <v>2</v>
      </c>
      <c r="C62" s="2">
        <v>3</v>
      </c>
      <c r="D62" s="2">
        <v>5</v>
      </c>
      <c r="E62" s="1">
        <f>AVERAGE(S100:S102)</f>
        <v>6.6883333333333335</v>
      </c>
      <c r="G62" s="20"/>
      <c r="H62" s="1"/>
      <c r="I62" s="18"/>
      <c r="J62" s="3"/>
      <c r="K62" s="1"/>
      <c r="L62" s="18"/>
      <c r="M62" s="3"/>
      <c r="N62" s="1"/>
      <c r="O62" s="1"/>
      <c r="Q62" s="20"/>
      <c r="R62" s="1"/>
      <c r="S62" s="18"/>
      <c r="T62" s="3"/>
      <c r="U62" s="1"/>
      <c r="V62" s="18"/>
      <c r="W62" s="3"/>
      <c r="X62" s="1"/>
      <c r="Y62" s="1"/>
    </row>
    <row r="63" spans="1:25" x14ac:dyDescent="0.3">
      <c r="A63" s="2">
        <v>1098</v>
      </c>
      <c r="B63" s="42">
        <v>3</v>
      </c>
      <c r="C63" s="2">
        <v>3</v>
      </c>
      <c r="D63" s="2">
        <v>5</v>
      </c>
      <c r="E63" s="1">
        <f>AVERAGE(S104:S106)</f>
        <v>6.3973333333333331</v>
      </c>
      <c r="G63" s="20"/>
      <c r="H63" s="1"/>
      <c r="I63" s="18"/>
      <c r="J63" s="3"/>
      <c r="K63" s="1"/>
      <c r="L63" s="18"/>
      <c r="M63" s="3"/>
      <c r="N63" s="1"/>
      <c r="O63" s="1"/>
      <c r="Q63" s="20"/>
      <c r="R63" s="1"/>
      <c r="S63" s="18"/>
      <c r="T63" s="3"/>
      <c r="U63" s="1"/>
      <c r="V63" s="18"/>
      <c r="W63" s="3"/>
      <c r="X63" s="1"/>
      <c r="Y63" s="1"/>
    </row>
    <row r="64" spans="1:25" x14ac:dyDescent="0.3">
      <c r="A64" s="2">
        <v>1112</v>
      </c>
      <c r="B64" s="41">
        <v>1</v>
      </c>
      <c r="C64" s="2">
        <v>3</v>
      </c>
      <c r="D64" s="2">
        <v>5</v>
      </c>
      <c r="E64" s="1">
        <f>AVERAGE(S108:S110)</f>
        <v>6.4763333333333337</v>
      </c>
      <c r="G64" s="20"/>
      <c r="H64" s="1"/>
      <c r="I64" s="18"/>
      <c r="J64" s="3"/>
      <c r="K64" s="1"/>
      <c r="L64" s="18"/>
      <c r="M64" s="3"/>
      <c r="N64" s="1"/>
      <c r="O64" s="1"/>
      <c r="Q64" s="20"/>
      <c r="R64" s="1"/>
      <c r="S64" s="18"/>
      <c r="T64" s="3"/>
      <c r="U64" s="1"/>
      <c r="V64" s="18"/>
      <c r="W64" s="3"/>
      <c r="X64" s="1"/>
      <c r="Y64" s="1"/>
    </row>
    <row r="65" spans="1:25" x14ac:dyDescent="0.3">
      <c r="A65" s="2">
        <v>1112</v>
      </c>
      <c r="B65" s="42">
        <v>2</v>
      </c>
      <c r="C65" s="2">
        <v>3</v>
      </c>
      <c r="D65" s="2">
        <v>5</v>
      </c>
      <c r="E65" s="1">
        <f>AVERAGE(S112:S114)</f>
        <v>6.4463333333333326</v>
      </c>
      <c r="G65" s="20"/>
      <c r="H65" s="1"/>
      <c r="I65" s="18"/>
      <c r="J65" s="3"/>
      <c r="K65" s="1"/>
      <c r="L65" s="18"/>
      <c r="M65" s="3"/>
      <c r="N65" s="1"/>
      <c r="O65" s="1"/>
      <c r="Q65" s="20"/>
      <c r="R65" s="1"/>
      <c r="S65" s="18"/>
      <c r="T65" s="3"/>
      <c r="U65" s="1"/>
      <c r="V65" s="18"/>
      <c r="W65" s="3"/>
      <c r="X65" s="1"/>
      <c r="Y65" s="1"/>
    </row>
    <row r="66" spans="1:25" x14ac:dyDescent="0.3">
      <c r="A66" s="2">
        <v>1112</v>
      </c>
      <c r="B66" s="42">
        <v>3</v>
      </c>
      <c r="C66" s="2">
        <v>3</v>
      </c>
      <c r="D66" s="2">
        <v>5</v>
      </c>
      <c r="E66" s="1">
        <f>AVERAGE(S116:S118)</f>
        <v>6.512666666666667</v>
      </c>
      <c r="G66" s="20"/>
      <c r="H66" s="1"/>
      <c r="I66" s="18"/>
      <c r="J66" s="3"/>
      <c r="K66" s="1"/>
      <c r="L66" s="18"/>
      <c r="M66" s="3"/>
      <c r="N66" s="1"/>
      <c r="O66" s="1"/>
      <c r="Q66" s="20"/>
      <c r="R66" s="1"/>
      <c r="S66" s="18"/>
      <c r="T66" s="3"/>
      <c r="U66" s="1"/>
      <c r="V66" s="18"/>
      <c r="W66" s="3"/>
      <c r="X66" s="1"/>
      <c r="Y66" s="1"/>
    </row>
    <row r="67" spans="1:25" x14ac:dyDescent="0.3">
      <c r="A67" s="2">
        <v>1123</v>
      </c>
      <c r="B67" s="41">
        <v>1</v>
      </c>
      <c r="C67" s="2">
        <v>3</v>
      </c>
      <c r="D67" s="2">
        <v>5</v>
      </c>
      <c r="E67" s="1">
        <f>AVERAGE(V96:V98)</f>
        <v>6.5783333333333331</v>
      </c>
      <c r="G67" s="15" t="s">
        <v>28</v>
      </c>
      <c r="Q67" s="15" t="s">
        <v>30</v>
      </c>
    </row>
    <row r="68" spans="1:25" x14ac:dyDescent="0.3">
      <c r="A68" s="2">
        <v>1123</v>
      </c>
      <c r="B68" s="42">
        <v>2</v>
      </c>
      <c r="C68" s="2">
        <v>3</v>
      </c>
      <c r="D68" s="2">
        <v>5</v>
      </c>
      <c r="E68" s="1">
        <f>AVERAGE(V100:V102)</f>
        <v>6.5289999999999999</v>
      </c>
      <c r="G68" s="1" t="s">
        <v>11</v>
      </c>
      <c r="H68" s="16" t="s">
        <v>5</v>
      </c>
      <c r="I68" s="17" t="s">
        <v>6</v>
      </c>
      <c r="J68" s="3" t="s">
        <v>18</v>
      </c>
      <c r="K68" s="16" t="s">
        <v>5</v>
      </c>
      <c r="L68" s="17" t="s">
        <v>6</v>
      </c>
      <c r="M68" s="19" t="s">
        <v>21</v>
      </c>
      <c r="N68" s="16" t="s">
        <v>5</v>
      </c>
      <c r="O68" s="16" t="s">
        <v>6</v>
      </c>
      <c r="Q68" s="1" t="s">
        <v>11</v>
      </c>
      <c r="R68" s="16" t="s">
        <v>5</v>
      </c>
      <c r="S68" s="17" t="s">
        <v>6</v>
      </c>
      <c r="T68" s="3" t="s">
        <v>18</v>
      </c>
      <c r="U68" s="16" t="s">
        <v>5</v>
      </c>
      <c r="V68" s="17" t="s">
        <v>6</v>
      </c>
      <c r="W68" s="19" t="s">
        <v>21</v>
      </c>
      <c r="X68" s="16" t="s">
        <v>5</v>
      </c>
      <c r="Y68" s="16" t="s">
        <v>6</v>
      </c>
    </row>
    <row r="69" spans="1:25" x14ac:dyDescent="0.3">
      <c r="A69" s="2">
        <v>1123</v>
      </c>
      <c r="B69" s="42">
        <v>3</v>
      </c>
      <c r="C69" s="2">
        <v>3</v>
      </c>
      <c r="D69" s="2">
        <v>5</v>
      </c>
      <c r="E69" s="1">
        <f>AVERAGE(V104:V106)</f>
        <v>6.4993333333333325</v>
      </c>
      <c r="G69" s="20">
        <v>1</v>
      </c>
      <c r="H69" s="1">
        <v>-47.158000000000001</v>
      </c>
      <c r="I69" s="18">
        <v>6.2069999999999999</v>
      </c>
      <c r="J69" s="3">
        <v>1</v>
      </c>
      <c r="K69" s="1">
        <v>-46.332000000000001</v>
      </c>
      <c r="L69" s="18">
        <v>5.2350000000000003</v>
      </c>
      <c r="M69" s="3">
        <v>1</v>
      </c>
      <c r="N69" s="1">
        <v>-48.878999999999998</v>
      </c>
      <c r="O69" s="1">
        <v>6.3250000000000002</v>
      </c>
      <c r="Q69" s="20">
        <v>1</v>
      </c>
      <c r="R69" s="1">
        <v>-49.228000000000002</v>
      </c>
      <c r="S69" s="18">
        <v>5.9260000000000002</v>
      </c>
      <c r="T69" s="3">
        <v>1</v>
      </c>
      <c r="U69" s="1">
        <v>-50.456000000000003</v>
      </c>
      <c r="V69" s="18">
        <v>6.375</v>
      </c>
      <c r="W69" s="3">
        <v>1</v>
      </c>
      <c r="X69" s="1">
        <v>-48.768999999999998</v>
      </c>
      <c r="Y69" s="1">
        <v>5.7729999999999997</v>
      </c>
    </row>
    <row r="70" spans="1:25" x14ac:dyDescent="0.3">
      <c r="A70" s="10"/>
      <c r="B70" s="10"/>
      <c r="C70" s="10"/>
      <c r="D70" s="10"/>
      <c r="E70" s="10"/>
      <c r="G70" s="20">
        <v>2</v>
      </c>
      <c r="H70" s="1">
        <v>-90.251999999999995</v>
      </c>
      <c r="I70" s="18">
        <v>5.7709999999999999</v>
      </c>
      <c r="J70" s="3">
        <v>2</v>
      </c>
      <c r="K70" s="1">
        <v>-89.456999999999994</v>
      </c>
      <c r="L70" s="18">
        <v>5.1890000000000001</v>
      </c>
      <c r="M70" s="3">
        <v>2</v>
      </c>
      <c r="N70" s="1">
        <v>-90.983999999999995</v>
      </c>
      <c r="O70" s="1">
        <v>5.875</v>
      </c>
      <c r="Q70" s="20">
        <v>2</v>
      </c>
      <c r="R70" s="1">
        <v>-90</v>
      </c>
      <c r="S70" s="18">
        <v>6.3410000000000002</v>
      </c>
      <c r="T70" s="3">
        <v>2</v>
      </c>
      <c r="U70" s="1">
        <v>-90.242000000000004</v>
      </c>
      <c r="V70" s="18">
        <v>5.9749999999999996</v>
      </c>
      <c r="W70" s="3">
        <v>2</v>
      </c>
      <c r="X70" s="1">
        <v>-90.486000000000004</v>
      </c>
      <c r="Y70" s="1">
        <v>5.7560000000000002</v>
      </c>
    </row>
    <row r="71" spans="1:25" x14ac:dyDescent="0.3">
      <c r="A71" s="2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G71" s="20">
        <v>3</v>
      </c>
      <c r="H71" s="1">
        <v>-120.42</v>
      </c>
      <c r="I71" s="18">
        <v>6.4269999999999996</v>
      </c>
      <c r="J71" s="3">
        <v>3</v>
      </c>
      <c r="K71" s="1">
        <v>-120.864</v>
      </c>
      <c r="L71" s="18">
        <v>4.8410000000000002</v>
      </c>
      <c r="M71" s="3">
        <v>3</v>
      </c>
      <c r="N71" s="1">
        <v>-123.066</v>
      </c>
      <c r="O71" s="1">
        <v>5.7759999999999998</v>
      </c>
      <c r="Q71" s="20">
        <v>3</v>
      </c>
      <c r="R71" s="1">
        <v>-119.42700000000001</v>
      </c>
      <c r="S71" s="18">
        <v>7.2809999999999997</v>
      </c>
      <c r="T71" s="3">
        <v>3</v>
      </c>
      <c r="U71" s="1">
        <v>-120.24</v>
      </c>
      <c r="V71" s="18">
        <v>6.157</v>
      </c>
      <c r="W71" s="3">
        <v>3</v>
      </c>
      <c r="X71" s="1">
        <v>-118.50700000000001</v>
      </c>
      <c r="Y71" s="1">
        <v>6.4390000000000001</v>
      </c>
    </row>
    <row r="72" spans="1:25" x14ac:dyDescent="0.3">
      <c r="A72" s="2" t="s">
        <v>17</v>
      </c>
      <c r="B72" s="2">
        <v>1</v>
      </c>
      <c r="C72" s="2">
        <v>3</v>
      </c>
      <c r="D72" s="2">
        <v>6</v>
      </c>
      <c r="E72" s="2">
        <f>AVERAGE(S69:S71)</f>
        <v>6.5159999999999991</v>
      </c>
      <c r="G72" s="20" t="s">
        <v>12</v>
      </c>
      <c r="H72" s="1"/>
      <c r="I72" s="18"/>
      <c r="J72" s="3" t="s">
        <v>19</v>
      </c>
      <c r="K72" s="1"/>
      <c r="L72" s="18"/>
      <c r="M72" s="3" t="s">
        <v>22</v>
      </c>
      <c r="N72" s="1"/>
      <c r="O72" s="1"/>
      <c r="Q72" s="20" t="s">
        <v>12</v>
      </c>
      <c r="R72" s="1"/>
      <c r="S72" s="18"/>
      <c r="T72" s="3" t="s">
        <v>19</v>
      </c>
      <c r="U72" s="1"/>
      <c r="V72" s="18"/>
      <c r="W72" s="3" t="s">
        <v>22</v>
      </c>
      <c r="X72" s="1"/>
      <c r="Y72" s="1"/>
    </row>
    <row r="73" spans="1:25" x14ac:dyDescent="0.3">
      <c r="A73" s="2" t="s">
        <v>17</v>
      </c>
      <c r="B73" s="2">
        <v>2</v>
      </c>
      <c r="C73" s="2">
        <v>3</v>
      </c>
      <c r="D73" s="2">
        <v>6</v>
      </c>
      <c r="E73" s="2">
        <f>AVERAGE(S73:S75)</f>
        <v>6.6450000000000005</v>
      </c>
      <c r="G73" s="20">
        <v>1</v>
      </c>
      <c r="H73" s="1">
        <v>-65.593999999999994</v>
      </c>
      <c r="I73" s="18">
        <v>6.3369999999999997</v>
      </c>
      <c r="J73" s="3">
        <v>1</v>
      </c>
      <c r="K73" s="1">
        <v>-41.423999999999999</v>
      </c>
      <c r="L73" s="18">
        <v>5.5750000000000002</v>
      </c>
      <c r="M73" s="3">
        <v>1</v>
      </c>
      <c r="N73" s="1">
        <v>-41.234000000000002</v>
      </c>
      <c r="O73" s="1">
        <v>5.6989999999999998</v>
      </c>
      <c r="Q73" s="20">
        <v>1</v>
      </c>
      <c r="R73" s="1">
        <v>-45.436999999999998</v>
      </c>
      <c r="S73" s="18">
        <v>6.0250000000000004</v>
      </c>
      <c r="T73" s="3">
        <v>1</v>
      </c>
      <c r="U73" s="1">
        <v>-51.34</v>
      </c>
      <c r="V73" s="18">
        <v>6.2960000000000003</v>
      </c>
      <c r="W73" s="3">
        <v>1</v>
      </c>
      <c r="X73" s="1">
        <v>-49.527000000000001</v>
      </c>
      <c r="Y73" s="1">
        <v>5.899</v>
      </c>
    </row>
    <row r="74" spans="1:25" x14ac:dyDescent="0.3">
      <c r="A74" s="2" t="s">
        <v>17</v>
      </c>
      <c r="B74" s="2">
        <v>3</v>
      </c>
      <c r="C74" s="2">
        <v>3</v>
      </c>
      <c r="D74" s="2">
        <v>6</v>
      </c>
      <c r="E74" s="2">
        <f>AVERAGE(S77:S79)</f>
        <v>6.5776666666666666</v>
      </c>
      <c r="G74" s="20">
        <v>2</v>
      </c>
      <c r="H74" s="1">
        <v>-90.227999999999994</v>
      </c>
      <c r="I74" s="18">
        <v>6.3810000000000002</v>
      </c>
      <c r="J74" s="3">
        <v>2</v>
      </c>
      <c r="K74" s="1">
        <v>-90.518000000000001</v>
      </c>
      <c r="L74" s="18">
        <v>5.4349999999999996</v>
      </c>
      <c r="M74" s="3">
        <v>2</v>
      </c>
      <c r="N74" s="1">
        <v>-90.248000000000005</v>
      </c>
      <c r="O74" s="1">
        <v>5.8230000000000004</v>
      </c>
      <c r="Q74" s="20">
        <v>2</v>
      </c>
      <c r="R74" s="1">
        <v>-90</v>
      </c>
      <c r="S74" s="18">
        <v>6.7640000000000002</v>
      </c>
      <c r="T74" s="3">
        <v>2</v>
      </c>
      <c r="U74" s="1">
        <v>-90.494</v>
      </c>
      <c r="V74" s="18">
        <v>5.8490000000000002</v>
      </c>
      <c r="W74" s="3">
        <v>2</v>
      </c>
      <c r="X74" s="1">
        <v>-90.471999999999994</v>
      </c>
      <c r="Y74" s="1">
        <v>5.9269999999999996</v>
      </c>
    </row>
    <row r="75" spans="1:25" x14ac:dyDescent="0.3">
      <c r="A75" s="2">
        <v>1260</v>
      </c>
      <c r="B75" s="2">
        <v>1</v>
      </c>
      <c r="C75" s="2">
        <v>3</v>
      </c>
      <c r="D75" s="2">
        <v>6</v>
      </c>
      <c r="E75" s="2">
        <f>AVERAGE(S81:S83)</f>
        <v>6.1520000000000001</v>
      </c>
      <c r="G75" s="20">
        <v>3</v>
      </c>
      <c r="H75" s="1">
        <v>-120.812</v>
      </c>
      <c r="I75" s="18">
        <v>6.601</v>
      </c>
      <c r="J75" s="3">
        <v>3</v>
      </c>
      <c r="K75" s="1">
        <v>-119.842</v>
      </c>
      <c r="L75" s="18">
        <v>5.3860000000000001</v>
      </c>
      <c r="M75" s="3">
        <v>3</v>
      </c>
      <c r="N75" s="1">
        <v>-120.883</v>
      </c>
      <c r="O75" s="1">
        <v>6.1390000000000002</v>
      </c>
      <c r="Q75" s="20">
        <v>3</v>
      </c>
      <c r="R75" s="1">
        <v>-114.46599999999999</v>
      </c>
      <c r="S75" s="18">
        <v>7.1459999999999999</v>
      </c>
      <c r="T75" s="3">
        <v>3</v>
      </c>
      <c r="U75" s="1">
        <v>-119.71599999999999</v>
      </c>
      <c r="V75" s="18">
        <v>6.1539999999999999</v>
      </c>
      <c r="W75" s="3">
        <v>3</v>
      </c>
      <c r="X75" s="1">
        <v>-119.226</v>
      </c>
      <c r="Y75" s="1">
        <v>6.3440000000000003</v>
      </c>
    </row>
    <row r="76" spans="1:25" x14ac:dyDescent="0.3">
      <c r="A76" s="2">
        <v>1260</v>
      </c>
      <c r="B76" s="2">
        <v>2</v>
      </c>
      <c r="C76" s="2">
        <v>3</v>
      </c>
      <c r="D76" s="2">
        <v>6</v>
      </c>
      <c r="E76" s="2">
        <f>AVERAGE(S85:S87)</f>
        <v>5.8436666666666666</v>
      </c>
      <c r="G76" s="20" t="s">
        <v>13</v>
      </c>
      <c r="H76" s="1"/>
      <c r="I76" s="18"/>
      <c r="J76" s="3" t="s">
        <v>20</v>
      </c>
      <c r="K76" s="1"/>
      <c r="L76" s="18"/>
      <c r="M76" s="3" t="s">
        <v>23</v>
      </c>
      <c r="N76" s="1"/>
      <c r="O76" s="1"/>
      <c r="Q76" s="20" t="s">
        <v>13</v>
      </c>
      <c r="R76" s="1"/>
      <c r="S76" s="18"/>
      <c r="T76" s="3" t="s">
        <v>20</v>
      </c>
      <c r="U76" s="1"/>
      <c r="V76" s="18"/>
      <c r="W76" s="3" t="s">
        <v>23</v>
      </c>
      <c r="X76" s="1"/>
      <c r="Y76" s="1"/>
    </row>
    <row r="77" spans="1:25" x14ac:dyDescent="0.3">
      <c r="A77" s="2">
        <v>1260</v>
      </c>
      <c r="B77" s="2">
        <v>3</v>
      </c>
      <c r="C77" s="2">
        <v>3</v>
      </c>
      <c r="D77" s="2">
        <v>6</v>
      </c>
      <c r="E77" s="2">
        <f>AVERAGE(S89:S91)</f>
        <v>6.0546666666666669</v>
      </c>
      <c r="G77" s="20">
        <v>1</v>
      </c>
      <c r="H77" s="1">
        <v>-60.305999999999997</v>
      </c>
      <c r="I77" s="18">
        <v>7.0830000000000002</v>
      </c>
      <c r="J77" s="3">
        <v>1</v>
      </c>
      <c r="K77" s="1">
        <v>-53.956000000000003</v>
      </c>
      <c r="L77" s="18">
        <v>6.1429999999999998</v>
      </c>
      <c r="M77" s="3">
        <v>1</v>
      </c>
      <c r="N77" s="1">
        <v>-49.573999999999998</v>
      </c>
      <c r="O77" s="1">
        <v>6.2590000000000003</v>
      </c>
      <c r="Q77" s="20">
        <v>1</v>
      </c>
      <c r="R77" s="1">
        <v>-54.5</v>
      </c>
      <c r="S77" s="18">
        <v>5.7119999999999997</v>
      </c>
      <c r="T77" s="3">
        <v>1</v>
      </c>
      <c r="U77" s="1">
        <v>-57.683999999999997</v>
      </c>
      <c r="V77" s="18">
        <v>6.4139999999999997</v>
      </c>
      <c r="W77" s="3">
        <v>1</v>
      </c>
      <c r="X77" s="1">
        <v>-49.423999999999999</v>
      </c>
      <c r="Y77" s="1">
        <v>6.0369999999999999</v>
      </c>
    </row>
    <row r="78" spans="1:25" x14ac:dyDescent="0.3">
      <c r="A78" s="2">
        <v>1263</v>
      </c>
      <c r="B78" s="2">
        <v>1</v>
      </c>
      <c r="C78" s="2">
        <v>3</v>
      </c>
      <c r="D78" s="2">
        <v>6</v>
      </c>
      <c r="E78" s="2">
        <f>AVERAGE(V69:V71)</f>
        <v>6.1689999999999996</v>
      </c>
      <c r="G78" s="20">
        <v>2</v>
      </c>
      <c r="H78" s="1">
        <v>-90</v>
      </c>
      <c r="I78" s="18">
        <v>6.7119999999999997</v>
      </c>
      <c r="J78" s="3">
        <v>2</v>
      </c>
      <c r="K78" s="1">
        <v>-90.468000000000004</v>
      </c>
      <c r="L78" s="18">
        <v>6.0250000000000004</v>
      </c>
      <c r="M78" s="3">
        <v>2</v>
      </c>
      <c r="N78" s="1">
        <v>-90.47</v>
      </c>
      <c r="O78" s="1">
        <v>6.1509999999999998</v>
      </c>
      <c r="Q78" s="20">
        <v>2</v>
      </c>
      <c r="R78" s="1">
        <v>-89.718000000000004</v>
      </c>
      <c r="S78" s="18">
        <v>6.6020000000000003</v>
      </c>
      <c r="T78" s="3">
        <v>2</v>
      </c>
      <c r="U78" s="1">
        <v>-91.468999999999994</v>
      </c>
      <c r="V78" s="18">
        <v>5.9009999999999998</v>
      </c>
      <c r="W78" s="3">
        <v>2</v>
      </c>
      <c r="X78" s="1">
        <v>-90.888000000000005</v>
      </c>
      <c r="Y78" s="1">
        <v>6.2930000000000001</v>
      </c>
    </row>
    <row r="79" spans="1:25" x14ac:dyDescent="0.3">
      <c r="A79" s="2">
        <v>1263</v>
      </c>
      <c r="B79" s="2">
        <v>2</v>
      </c>
      <c r="C79" s="2">
        <v>3</v>
      </c>
      <c r="D79" s="2">
        <v>6</v>
      </c>
      <c r="E79" s="2">
        <f>AVERAGE(V73:V75)</f>
        <v>6.0996666666666668</v>
      </c>
      <c r="G79" s="20">
        <v>3</v>
      </c>
      <c r="H79" s="1">
        <v>-122.93600000000001</v>
      </c>
      <c r="I79" s="18">
        <v>6.9669999999999996</v>
      </c>
      <c r="J79" s="3">
        <v>3</v>
      </c>
      <c r="K79" s="1">
        <v>-120.92700000000001</v>
      </c>
      <c r="L79" s="18">
        <v>6.65</v>
      </c>
      <c r="M79" s="3">
        <v>3</v>
      </c>
      <c r="N79" s="1">
        <v>-119.27200000000001</v>
      </c>
      <c r="O79" s="1">
        <v>6.4450000000000003</v>
      </c>
      <c r="Q79" s="20">
        <v>3</v>
      </c>
      <c r="R79" s="1">
        <v>-117.688</v>
      </c>
      <c r="S79" s="18">
        <v>7.4189999999999996</v>
      </c>
      <c r="T79" s="3">
        <v>3</v>
      </c>
      <c r="U79" s="1">
        <v>-120.107</v>
      </c>
      <c r="V79" s="18">
        <v>6.9359999999999999</v>
      </c>
      <c r="W79" s="3">
        <v>3</v>
      </c>
      <c r="X79" s="1">
        <v>-119.872</v>
      </c>
      <c r="Y79" s="1">
        <v>6.8070000000000004</v>
      </c>
    </row>
    <row r="80" spans="1:25" x14ac:dyDescent="0.3">
      <c r="A80" s="2">
        <v>1263</v>
      </c>
      <c r="B80" s="2">
        <v>3</v>
      </c>
      <c r="C80" s="2">
        <v>3</v>
      </c>
      <c r="D80" s="2">
        <v>6</v>
      </c>
      <c r="E80" s="2">
        <f>AVERAGE(V77:V79)</f>
        <v>6.4169999999999989</v>
      </c>
      <c r="G80" s="20" t="s">
        <v>26</v>
      </c>
      <c r="H80" s="1"/>
      <c r="I80" s="18"/>
      <c r="J80" s="3" t="s">
        <v>14</v>
      </c>
      <c r="K80" s="1"/>
      <c r="L80" s="18"/>
      <c r="M80" s="3" t="s">
        <v>33</v>
      </c>
      <c r="N80" s="1"/>
      <c r="O80" s="1"/>
      <c r="Q80" s="20" t="s">
        <v>26</v>
      </c>
      <c r="R80" s="1"/>
      <c r="S80" s="18"/>
      <c r="T80" s="3" t="s">
        <v>14</v>
      </c>
      <c r="U80" s="1"/>
      <c r="V80" s="18"/>
      <c r="W80" s="3" t="s">
        <v>33</v>
      </c>
      <c r="X80" s="1"/>
      <c r="Y80" s="1"/>
    </row>
    <row r="81" spans="1:29" x14ac:dyDescent="0.3">
      <c r="A81" s="2">
        <v>1264</v>
      </c>
      <c r="B81" s="2">
        <v>1</v>
      </c>
      <c r="C81" s="2">
        <v>3</v>
      </c>
      <c r="D81" s="2">
        <v>6</v>
      </c>
      <c r="E81" s="2">
        <f>AVERAGE(V81:V83)</f>
        <v>5.7006666666666668</v>
      </c>
      <c r="G81" s="20">
        <v>1</v>
      </c>
      <c r="H81" s="1">
        <v>-46.939</v>
      </c>
      <c r="I81" s="18">
        <v>5.6539999999999999</v>
      </c>
      <c r="J81" s="3">
        <v>1</v>
      </c>
      <c r="K81" s="1">
        <v>-44.235999999999997</v>
      </c>
      <c r="L81" s="18">
        <v>5.3940000000000001</v>
      </c>
      <c r="M81" s="3">
        <v>1</v>
      </c>
      <c r="N81" s="1">
        <v>-40.683999999999997</v>
      </c>
      <c r="O81" s="1">
        <v>5.0529999999999999</v>
      </c>
      <c r="Q81" s="20">
        <v>1</v>
      </c>
      <c r="R81" s="1">
        <v>-46.749000000000002</v>
      </c>
      <c r="S81" s="18">
        <v>6.23</v>
      </c>
      <c r="T81" s="3">
        <v>1</v>
      </c>
      <c r="U81" s="1">
        <v>-49.584000000000003</v>
      </c>
      <c r="V81" s="18">
        <v>5.5570000000000004</v>
      </c>
      <c r="W81" s="3">
        <v>1</v>
      </c>
      <c r="X81" s="1">
        <v>-46.225999999999999</v>
      </c>
      <c r="Y81" s="1">
        <v>5.734</v>
      </c>
    </row>
    <row r="82" spans="1:29" x14ac:dyDescent="0.3">
      <c r="A82" s="2">
        <v>1264</v>
      </c>
      <c r="B82" s="2">
        <v>2</v>
      </c>
      <c r="C82" s="2">
        <v>3</v>
      </c>
      <c r="D82" s="2">
        <v>6</v>
      </c>
      <c r="E82" s="2">
        <f>AVERAGE(V85:V87)</f>
        <v>5.6896666666666675</v>
      </c>
      <c r="G82" s="20">
        <v>2</v>
      </c>
      <c r="H82" s="1">
        <v>-90</v>
      </c>
      <c r="I82" s="18">
        <v>4.6230000000000002</v>
      </c>
      <c r="J82" s="3">
        <v>2</v>
      </c>
      <c r="K82" s="1">
        <v>-90</v>
      </c>
      <c r="L82" s="18">
        <v>5.6440000000000001</v>
      </c>
      <c r="M82" s="3">
        <v>2</v>
      </c>
      <c r="N82" s="1">
        <v>-90</v>
      </c>
      <c r="O82" s="1">
        <v>5.3109999999999999</v>
      </c>
      <c r="Q82" s="20">
        <v>2</v>
      </c>
      <c r="R82" s="1">
        <v>-90.346999999999994</v>
      </c>
      <c r="S82" s="18">
        <v>5.5460000000000003</v>
      </c>
      <c r="T82" s="3">
        <v>2</v>
      </c>
      <c r="U82" s="1">
        <v>-90.331000000000003</v>
      </c>
      <c r="V82" s="18">
        <v>5.718</v>
      </c>
      <c r="W82" s="3">
        <v>2</v>
      </c>
      <c r="X82" s="1">
        <v>-90.254000000000005</v>
      </c>
      <c r="Y82" s="1">
        <v>5.6029999999999998</v>
      </c>
    </row>
    <row r="83" spans="1:29" x14ac:dyDescent="0.3">
      <c r="A83" s="9">
        <v>1264</v>
      </c>
      <c r="B83" s="9">
        <v>3</v>
      </c>
      <c r="C83" s="2">
        <v>3</v>
      </c>
      <c r="D83" s="2">
        <v>6</v>
      </c>
      <c r="E83" s="9">
        <f>AVERAGE(V89:V91)</f>
        <v>5.7930000000000001</v>
      </c>
      <c r="G83" s="20">
        <v>3</v>
      </c>
      <c r="H83" s="1">
        <v>-120.276</v>
      </c>
      <c r="I83" s="18">
        <v>5.2679999999999998</v>
      </c>
      <c r="J83" s="3">
        <v>3</v>
      </c>
      <c r="K83" s="1">
        <v>-120.343</v>
      </c>
      <c r="L83" s="18">
        <v>4.8310000000000004</v>
      </c>
      <c r="M83" s="3">
        <v>3</v>
      </c>
      <c r="N83" s="1">
        <v>-120.038</v>
      </c>
      <c r="O83" s="1">
        <v>5.7080000000000002</v>
      </c>
      <c r="Q83" s="20">
        <v>3</v>
      </c>
      <c r="R83" s="1">
        <v>-118.887</v>
      </c>
      <c r="S83" s="18">
        <v>6.68</v>
      </c>
      <c r="T83" s="3">
        <v>3</v>
      </c>
      <c r="U83" s="1">
        <v>-121.075</v>
      </c>
      <c r="V83" s="18">
        <v>5.827</v>
      </c>
      <c r="W83" s="3">
        <v>3</v>
      </c>
      <c r="X83" s="1">
        <v>-121.08199999999999</v>
      </c>
      <c r="Y83" s="1">
        <v>6.1950000000000003</v>
      </c>
    </row>
    <row r="84" spans="1:29" x14ac:dyDescent="0.3">
      <c r="A84" s="2">
        <v>1433</v>
      </c>
      <c r="B84" s="9">
        <v>1</v>
      </c>
      <c r="C84" s="2">
        <v>3</v>
      </c>
      <c r="D84" s="2">
        <v>6</v>
      </c>
      <c r="E84" s="9">
        <f>AVERAGE(Y69:Y71)</f>
        <v>5.9893333333333336</v>
      </c>
      <c r="G84" s="20" t="s">
        <v>8</v>
      </c>
      <c r="H84" s="1"/>
      <c r="I84" s="18"/>
      <c r="J84" s="3" t="s">
        <v>15</v>
      </c>
      <c r="K84" s="1"/>
      <c r="L84" s="18"/>
      <c r="M84" s="3" t="s">
        <v>34</v>
      </c>
      <c r="N84" s="1"/>
      <c r="O84" s="1"/>
      <c r="Q84" s="20" t="s">
        <v>8</v>
      </c>
      <c r="R84" s="1"/>
      <c r="S84" s="18"/>
      <c r="T84" s="3" t="s">
        <v>15</v>
      </c>
      <c r="U84" s="1"/>
      <c r="V84" s="18"/>
      <c r="W84" s="3" t="s">
        <v>34</v>
      </c>
      <c r="X84" s="1"/>
      <c r="Y84" s="1"/>
    </row>
    <row r="85" spans="1:29" x14ac:dyDescent="0.3">
      <c r="A85" s="2">
        <v>1433</v>
      </c>
      <c r="B85" s="2">
        <v>2</v>
      </c>
      <c r="C85" s="2">
        <v>3</v>
      </c>
      <c r="D85" s="2">
        <v>6</v>
      </c>
      <c r="E85" s="1">
        <f>AVERAGE(Y73:Y75)</f>
        <v>6.0566666666666675</v>
      </c>
      <c r="G85" s="20">
        <v>1</v>
      </c>
      <c r="H85" s="1">
        <v>-41.966000000000001</v>
      </c>
      <c r="I85" s="18">
        <v>4.9279999999999999</v>
      </c>
      <c r="J85" s="3">
        <v>1</v>
      </c>
      <c r="K85" s="1">
        <v>-45</v>
      </c>
      <c r="L85" s="18">
        <v>5.681</v>
      </c>
      <c r="M85" s="3">
        <v>1</v>
      </c>
      <c r="N85" s="1">
        <v>-43.68</v>
      </c>
      <c r="O85" s="1">
        <v>5.1589999999999998</v>
      </c>
      <c r="Q85" s="20">
        <v>1</v>
      </c>
      <c r="R85" s="1">
        <v>-53.331000000000003</v>
      </c>
      <c r="S85" s="18">
        <v>5.7409999999999997</v>
      </c>
      <c r="T85" s="3">
        <v>1</v>
      </c>
      <c r="U85" s="1">
        <v>-48.576000000000001</v>
      </c>
      <c r="V85" s="18">
        <v>5.2460000000000004</v>
      </c>
      <c r="W85" s="3">
        <v>1</v>
      </c>
      <c r="X85" s="1">
        <v>-51.420999999999999</v>
      </c>
      <c r="Y85" s="1">
        <v>5.4870000000000001</v>
      </c>
    </row>
    <row r="86" spans="1:29" x14ac:dyDescent="0.3">
      <c r="A86" s="2">
        <v>1433</v>
      </c>
      <c r="B86" s="2">
        <v>3</v>
      </c>
      <c r="C86" s="2">
        <v>3</v>
      </c>
      <c r="D86" s="2">
        <v>6</v>
      </c>
      <c r="E86" s="1">
        <f>AVERAGE(Y77:Y79)</f>
        <v>6.3790000000000004</v>
      </c>
      <c r="G86" s="20">
        <v>2</v>
      </c>
      <c r="H86" s="1">
        <v>-90.787999999999997</v>
      </c>
      <c r="I86" s="18">
        <v>5.3609999999999998</v>
      </c>
      <c r="J86" s="3">
        <v>2</v>
      </c>
      <c r="K86" s="1">
        <v>-90.546000000000006</v>
      </c>
      <c r="L86" s="18">
        <v>5.3390000000000004</v>
      </c>
      <c r="M86" s="3">
        <v>2</v>
      </c>
      <c r="N86" s="1">
        <v>-90.373999999999995</v>
      </c>
      <c r="O86" s="1">
        <v>5.1429999999999998</v>
      </c>
      <c r="Q86" s="20">
        <v>2</v>
      </c>
      <c r="R86" s="1">
        <v>-90.337000000000003</v>
      </c>
      <c r="S86" s="18">
        <v>5.7140000000000004</v>
      </c>
      <c r="T86" s="3">
        <v>2</v>
      </c>
      <c r="U86" s="1">
        <v>-91.745999999999995</v>
      </c>
      <c r="V86" s="18">
        <v>5.423</v>
      </c>
      <c r="W86" s="3">
        <v>2</v>
      </c>
      <c r="X86" s="1">
        <v>-90.516000000000005</v>
      </c>
      <c r="Y86" s="1">
        <v>5.5039999999999996</v>
      </c>
    </row>
    <row r="87" spans="1:29" x14ac:dyDescent="0.3">
      <c r="A87" s="2" t="s">
        <v>31</v>
      </c>
      <c r="B87" s="9">
        <v>1</v>
      </c>
      <c r="C87" s="2">
        <v>3</v>
      </c>
      <c r="D87" s="2">
        <v>6</v>
      </c>
      <c r="E87" s="1">
        <f>AVERAGE(Y81:Y83)</f>
        <v>5.8440000000000003</v>
      </c>
      <c r="G87" s="20">
        <v>3</v>
      </c>
      <c r="H87" s="1">
        <v>-121.49</v>
      </c>
      <c r="I87" s="18">
        <v>5.508</v>
      </c>
      <c r="J87" s="3">
        <v>3</v>
      </c>
      <c r="K87" s="1">
        <v>-123.69</v>
      </c>
      <c r="L87" s="18">
        <v>6.05</v>
      </c>
      <c r="M87" s="3">
        <v>3</v>
      </c>
      <c r="N87" s="1">
        <v>-121.89100000000001</v>
      </c>
      <c r="O87" s="1">
        <v>5.3449999999999998</v>
      </c>
      <c r="Q87" s="20">
        <v>3</v>
      </c>
      <c r="R87" s="1">
        <v>-120.964</v>
      </c>
      <c r="S87" s="18">
        <v>6.0759999999999996</v>
      </c>
      <c r="T87" s="3">
        <v>3</v>
      </c>
      <c r="U87" s="1">
        <v>-120.40600000000001</v>
      </c>
      <c r="V87" s="18">
        <v>6.4</v>
      </c>
      <c r="W87" s="3">
        <v>3</v>
      </c>
      <c r="X87" s="1">
        <v>-121.511</v>
      </c>
      <c r="Y87" s="1">
        <v>5.7869999999999999</v>
      </c>
    </row>
    <row r="88" spans="1:29" x14ac:dyDescent="0.3">
      <c r="A88" s="2" t="s">
        <v>31</v>
      </c>
      <c r="B88" s="2">
        <v>2</v>
      </c>
      <c r="C88" s="2">
        <v>3</v>
      </c>
      <c r="D88" s="2">
        <v>6</v>
      </c>
      <c r="E88" s="1">
        <f>AVERAGE(Y85:Y87)</f>
        <v>5.5926666666666662</v>
      </c>
      <c r="G88" s="20" t="s">
        <v>9</v>
      </c>
      <c r="H88" s="1"/>
      <c r="I88" s="18"/>
      <c r="J88" s="3" t="s">
        <v>16</v>
      </c>
      <c r="K88" s="1"/>
      <c r="L88" s="18"/>
      <c r="M88" s="3" t="s">
        <v>35</v>
      </c>
      <c r="N88" s="1"/>
      <c r="O88" s="1"/>
      <c r="Q88" s="20" t="s">
        <v>9</v>
      </c>
      <c r="R88" s="1"/>
      <c r="S88" s="18"/>
      <c r="T88" s="3" t="s">
        <v>16</v>
      </c>
      <c r="U88" s="1"/>
      <c r="V88" s="18"/>
      <c r="W88" s="3" t="s">
        <v>35</v>
      </c>
      <c r="X88" s="1"/>
      <c r="Y88" s="1"/>
    </row>
    <row r="89" spans="1:29" x14ac:dyDescent="0.3">
      <c r="A89" s="2" t="s">
        <v>31</v>
      </c>
      <c r="B89" s="2">
        <v>3</v>
      </c>
      <c r="C89" s="2">
        <v>3</v>
      </c>
      <c r="D89" s="2">
        <v>6</v>
      </c>
      <c r="E89" s="1">
        <f>AVERAGE(Y89:Y91)</f>
        <v>5.6729999999999992</v>
      </c>
      <c r="G89" s="20">
        <v>1</v>
      </c>
      <c r="H89" s="1">
        <v>-48.347000000000001</v>
      </c>
      <c r="I89" s="18">
        <v>5.9569999999999999</v>
      </c>
      <c r="J89" s="3">
        <v>1</v>
      </c>
      <c r="K89" s="1">
        <v>-41.987000000000002</v>
      </c>
      <c r="L89" s="18">
        <v>5.4729999999999999</v>
      </c>
      <c r="M89" s="3">
        <v>1</v>
      </c>
      <c r="N89" s="1">
        <v>-42.667999999999999</v>
      </c>
      <c r="O89" s="1">
        <v>5.2569999999999997</v>
      </c>
      <c r="Q89" s="20">
        <v>1</v>
      </c>
      <c r="R89" s="1">
        <v>-52.317</v>
      </c>
      <c r="S89" s="18">
        <v>6.1589999999999998</v>
      </c>
      <c r="T89" s="3">
        <v>1</v>
      </c>
      <c r="U89" s="1">
        <v>-45</v>
      </c>
      <c r="V89" s="18">
        <v>5.1890000000000001</v>
      </c>
      <c r="W89" s="3">
        <v>1</v>
      </c>
      <c r="X89" s="1">
        <v>-47.536999999999999</v>
      </c>
      <c r="Y89" s="1">
        <v>5.5449999999999999</v>
      </c>
    </row>
    <row r="90" spans="1:29" x14ac:dyDescent="0.3">
      <c r="A90" s="10"/>
      <c r="B90" s="10"/>
      <c r="C90" s="10"/>
      <c r="D90" s="10"/>
      <c r="E90" s="10"/>
      <c r="G90" s="20">
        <v>2</v>
      </c>
      <c r="H90" s="1">
        <v>-90.49</v>
      </c>
      <c r="I90" s="18">
        <v>5.7539999999999996</v>
      </c>
      <c r="J90" s="3">
        <v>2</v>
      </c>
      <c r="K90" s="1">
        <v>-90</v>
      </c>
      <c r="L90" s="18">
        <v>6.0510000000000002</v>
      </c>
      <c r="M90" s="3">
        <v>2</v>
      </c>
      <c r="N90" s="1">
        <v>-90.734999999999999</v>
      </c>
      <c r="O90" s="1">
        <v>5.2439999999999998</v>
      </c>
      <c r="Q90" s="20">
        <v>2</v>
      </c>
      <c r="R90" s="1">
        <v>-90.698999999999998</v>
      </c>
      <c r="S90" s="18">
        <v>5.5129999999999999</v>
      </c>
      <c r="T90" s="3">
        <v>2</v>
      </c>
      <c r="U90" s="1">
        <v>-90.655000000000001</v>
      </c>
      <c r="V90" s="18">
        <v>5.7850000000000001</v>
      </c>
      <c r="W90" s="3">
        <v>2</v>
      </c>
      <c r="X90" s="1">
        <v>-90.257000000000005</v>
      </c>
      <c r="Y90" s="1">
        <v>5.5289999999999999</v>
      </c>
    </row>
    <row r="91" spans="1:29" x14ac:dyDescent="0.3">
      <c r="A91" s="2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G91" s="20">
        <v>3</v>
      </c>
      <c r="H91" s="1">
        <v>-121.001</v>
      </c>
      <c r="I91" s="18">
        <v>6.5410000000000004</v>
      </c>
      <c r="J91" s="3">
        <v>3</v>
      </c>
      <c r="K91" s="1">
        <v>-120.324</v>
      </c>
      <c r="L91" s="18">
        <v>6.2439999999999998</v>
      </c>
      <c r="M91" s="3">
        <v>3</v>
      </c>
      <c r="N91" s="1">
        <v>-120.727</v>
      </c>
      <c r="O91" s="1">
        <v>5.5919999999999996</v>
      </c>
      <c r="Q91" s="20">
        <v>3</v>
      </c>
      <c r="R91" s="1">
        <v>-121.88</v>
      </c>
      <c r="S91" s="18">
        <v>6.492</v>
      </c>
      <c r="T91" s="3">
        <v>3</v>
      </c>
      <c r="U91" s="1">
        <v>-118.681</v>
      </c>
      <c r="V91" s="18">
        <v>6.4050000000000002</v>
      </c>
      <c r="W91" s="3">
        <v>3</v>
      </c>
      <c r="X91" s="1">
        <v>-120.30800000000001</v>
      </c>
      <c r="Y91" s="1">
        <v>5.9450000000000003</v>
      </c>
    </row>
    <row r="92" spans="1:29" x14ac:dyDescent="0.3">
      <c r="A92" s="2" t="s">
        <v>17</v>
      </c>
      <c r="B92" s="2">
        <v>1</v>
      </c>
      <c r="C92" s="2">
        <v>3</v>
      </c>
      <c r="D92" s="2">
        <v>7</v>
      </c>
      <c r="E92" s="2">
        <f>AVERAGE(I95:I97)</f>
        <v>7.2913333333333332</v>
      </c>
    </row>
    <row r="93" spans="1:29" x14ac:dyDescent="0.3">
      <c r="A93" s="2" t="s">
        <v>17</v>
      </c>
      <c r="B93" s="2">
        <v>2</v>
      </c>
      <c r="C93" s="2">
        <v>3</v>
      </c>
      <c r="D93" s="2">
        <v>7</v>
      </c>
      <c r="E93" s="2">
        <f>AVERAGE(I99:I101)</f>
        <v>7.4846666666666666</v>
      </c>
      <c r="G93" s="15" t="s">
        <v>36</v>
      </c>
    </row>
    <row r="94" spans="1:29" x14ac:dyDescent="0.3">
      <c r="A94" s="2" t="s">
        <v>17</v>
      </c>
      <c r="B94" s="2">
        <v>3</v>
      </c>
      <c r="C94" s="2">
        <v>3</v>
      </c>
      <c r="D94" s="2">
        <v>7</v>
      </c>
      <c r="E94" s="2">
        <f>AVERAGE(I103:I105)</f>
        <v>7.9039999999999999</v>
      </c>
      <c r="G94" s="1" t="s">
        <v>11</v>
      </c>
      <c r="H94" s="16" t="s">
        <v>5</v>
      </c>
      <c r="I94" s="17" t="s">
        <v>6</v>
      </c>
      <c r="J94" s="3" t="s">
        <v>18</v>
      </c>
      <c r="K94" s="16" t="s">
        <v>5</v>
      </c>
      <c r="L94" s="17" t="s">
        <v>6</v>
      </c>
      <c r="M94" s="19" t="s">
        <v>21</v>
      </c>
      <c r="N94" s="16" t="s">
        <v>5</v>
      </c>
      <c r="O94" s="16" t="s">
        <v>6</v>
      </c>
      <c r="Q94" s="40" t="s">
        <v>28</v>
      </c>
      <c r="X94" s="40" t="s">
        <v>36</v>
      </c>
    </row>
    <row r="95" spans="1:29" x14ac:dyDescent="0.3">
      <c r="A95" s="2">
        <v>1260</v>
      </c>
      <c r="B95" s="2">
        <v>1</v>
      </c>
      <c r="C95" s="2">
        <v>3</v>
      </c>
      <c r="D95" s="2">
        <v>7</v>
      </c>
      <c r="E95" s="2">
        <f>AVERAGE(I107:I109)</f>
        <v>6.078666666666666</v>
      </c>
      <c r="G95" s="20">
        <v>1</v>
      </c>
      <c r="H95" s="1">
        <v>-46.96</v>
      </c>
      <c r="I95" s="18">
        <v>6.3079999999999998</v>
      </c>
      <c r="J95" s="3">
        <v>1</v>
      </c>
      <c r="K95" s="1">
        <v>-46.697000000000003</v>
      </c>
      <c r="L95" s="18">
        <v>7.0739999999999998</v>
      </c>
      <c r="M95" s="3">
        <v>1</v>
      </c>
      <c r="N95" s="1">
        <v>-48.835000000000001</v>
      </c>
      <c r="O95" s="1">
        <v>6.5049999999999999</v>
      </c>
      <c r="Q95" s="1" t="s">
        <v>37</v>
      </c>
      <c r="R95" s="1"/>
      <c r="S95" s="1"/>
      <c r="T95" s="1" t="s">
        <v>43</v>
      </c>
      <c r="U95" s="1"/>
      <c r="V95" s="1"/>
      <c r="X95" s="1" t="s">
        <v>37</v>
      </c>
      <c r="Y95" s="1"/>
      <c r="Z95" s="1"/>
      <c r="AA95" s="1" t="s">
        <v>43</v>
      </c>
      <c r="AB95" s="1"/>
      <c r="AC95" s="1"/>
    </row>
    <row r="96" spans="1:29" x14ac:dyDescent="0.3">
      <c r="A96" s="2">
        <v>1260</v>
      </c>
      <c r="B96" s="2">
        <v>2</v>
      </c>
      <c r="C96" s="2">
        <v>3</v>
      </c>
      <c r="D96" s="2">
        <v>7</v>
      </c>
      <c r="E96" s="2">
        <f>AVERAGE(I111:I113)</f>
        <v>6.8436666666666666</v>
      </c>
      <c r="G96" s="20">
        <v>2</v>
      </c>
      <c r="H96" s="1">
        <v>-90</v>
      </c>
      <c r="I96" s="18">
        <v>8.1359999999999992</v>
      </c>
      <c r="J96" s="3">
        <v>2</v>
      </c>
      <c r="K96" s="1">
        <v>-90</v>
      </c>
      <c r="L96" s="18">
        <v>6.2590000000000003</v>
      </c>
      <c r="M96" s="3">
        <v>2</v>
      </c>
      <c r="N96" s="1">
        <v>-90</v>
      </c>
      <c r="O96" s="1">
        <v>6.1790000000000003</v>
      </c>
      <c r="Q96" s="1"/>
      <c r="R96" s="1">
        <v>-50.779000000000003</v>
      </c>
      <c r="S96" s="1">
        <v>6.5019999999999998</v>
      </c>
      <c r="T96" s="1"/>
      <c r="U96" s="1">
        <v>-45.161999999999999</v>
      </c>
      <c r="V96" s="1">
        <v>6.6859999999999999</v>
      </c>
      <c r="X96" s="1"/>
      <c r="Y96" s="1">
        <v>-50.779000000000003</v>
      </c>
      <c r="Z96" s="1">
        <v>6.6029999999999998</v>
      </c>
      <c r="AA96" s="1"/>
      <c r="AB96" s="1">
        <v>-51.043999999999997</v>
      </c>
      <c r="AC96" s="1">
        <v>6.0439999999999996</v>
      </c>
    </row>
    <row r="97" spans="1:29" x14ac:dyDescent="0.3">
      <c r="A97" s="2">
        <v>1260</v>
      </c>
      <c r="B97" s="2">
        <v>3</v>
      </c>
      <c r="C97" s="2">
        <v>3</v>
      </c>
      <c r="D97" s="2">
        <v>7</v>
      </c>
      <c r="E97" s="2">
        <f>AVERAGE(I115:I117)</f>
        <v>7.5186666666666673</v>
      </c>
      <c r="G97" s="20">
        <v>3</v>
      </c>
      <c r="H97" s="1">
        <v>-120.426</v>
      </c>
      <c r="I97" s="18">
        <v>7.43</v>
      </c>
      <c r="J97" s="3">
        <v>3</v>
      </c>
      <c r="K97" s="1">
        <v>-119.745</v>
      </c>
      <c r="L97" s="18">
        <v>6.8680000000000003</v>
      </c>
      <c r="M97" s="3">
        <v>3</v>
      </c>
      <c r="N97" s="1">
        <v>-120.286</v>
      </c>
      <c r="O97" s="1">
        <v>7.0670000000000002</v>
      </c>
      <c r="Q97" s="1"/>
      <c r="R97" s="1">
        <v>-90.644000000000005</v>
      </c>
      <c r="S97" s="1">
        <v>6.593</v>
      </c>
      <c r="T97" s="1"/>
      <c r="U97" s="1">
        <v>-89.275000000000006</v>
      </c>
      <c r="V97" s="1">
        <v>6.3490000000000002</v>
      </c>
      <c r="X97" s="1"/>
      <c r="Y97" s="1">
        <v>-90.644000000000005</v>
      </c>
      <c r="Z97" s="1">
        <v>6.66</v>
      </c>
      <c r="AA97" s="1"/>
      <c r="AB97" s="1">
        <v>-90.32</v>
      </c>
      <c r="AC97" s="1">
        <v>5.9669999999999996</v>
      </c>
    </row>
    <row r="98" spans="1:29" x14ac:dyDescent="0.3">
      <c r="A98" s="2">
        <v>1263</v>
      </c>
      <c r="B98" s="2">
        <v>1</v>
      </c>
      <c r="C98" s="2">
        <v>3</v>
      </c>
      <c r="D98" s="2">
        <v>7</v>
      </c>
      <c r="E98" s="2">
        <f>AVERAGE(L95:L97)</f>
        <v>6.7336666666666671</v>
      </c>
      <c r="G98" s="20" t="s">
        <v>12</v>
      </c>
      <c r="H98" s="1"/>
      <c r="I98" s="18"/>
      <c r="J98" s="3" t="s">
        <v>19</v>
      </c>
      <c r="K98" s="1"/>
      <c r="L98" s="18"/>
      <c r="M98" s="3" t="s">
        <v>22</v>
      </c>
      <c r="N98" s="1"/>
      <c r="O98" s="1"/>
      <c r="Q98" s="1"/>
      <c r="R98" s="1">
        <v>-122.495</v>
      </c>
      <c r="S98" s="1">
        <v>6.8940000000000001</v>
      </c>
      <c r="T98" s="1"/>
      <c r="U98" s="1">
        <v>-118.40900000000001</v>
      </c>
      <c r="V98" s="1">
        <v>6.7</v>
      </c>
      <c r="X98" s="1"/>
      <c r="Y98" s="1">
        <v>-122.495</v>
      </c>
      <c r="Z98" s="1">
        <v>6.9210000000000003</v>
      </c>
      <c r="AA98" s="1"/>
      <c r="AB98" s="1">
        <v>-123.13200000000001</v>
      </c>
      <c r="AC98" s="1">
        <v>6.6470000000000002</v>
      </c>
    </row>
    <row r="99" spans="1:29" x14ac:dyDescent="0.3">
      <c r="A99" s="2">
        <v>1263</v>
      </c>
      <c r="B99" s="2">
        <v>2</v>
      </c>
      <c r="C99" s="2">
        <v>3</v>
      </c>
      <c r="D99" s="2">
        <v>7</v>
      </c>
      <c r="E99" s="2">
        <f>AVERAGE(L99:L101)</f>
        <v>7.0836666666666668</v>
      </c>
      <c r="G99" s="20">
        <v>1</v>
      </c>
      <c r="H99" s="1">
        <v>-49.235999999999997</v>
      </c>
      <c r="I99" s="18">
        <v>6.49</v>
      </c>
      <c r="J99" s="3">
        <v>1</v>
      </c>
      <c r="K99" s="1">
        <v>-48.1</v>
      </c>
      <c r="L99" s="18">
        <v>7.2649999999999997</v>
      </c>
      <c r="M99" s="3">
        <v>1</v>
      </c>
      <c r="N99" s="1">
        <v>-49.253999999999998</v>
      </c>
      <c r="O99" s="1">
        <v>6.6</v>
      </c>
      <c r="Q99" s="1" t="s">
        <v>38</v>
      </c>
      <c r="R99" s="1"/>
      <c r="S99" s="1"/>
      <c r="T99" s="1" t="s">
        <v>44</v>
      </c>
      <c r="U99" s="1"/>
      <c r="V99" s="1"/>
      <c r="X99" s="1" t="s">
        <v>38</v>
      </c>
      <c r="Y99" s="1"/>
      <c r="Z99" s="1"/>
      <c r="AA99" s="1" t="s">
        <v>44</v>
      </c>
      <c r="AB99" s="1"/>
      <c r="AC99" s="1"/>
    </row>
    <row r="100" spans="1:29" x14ac:dyDescent="0.3">
      <c r="A100" s="2">
        <v>1263</v>
      </c>
      <c r="B100" s="2">
        <v>3</v>
      </c>
      <c r="C100" s="2">
        <v>3</v>
      </c>
      <c r="D100" s="2">
        <v>7</v>
      </c>
      <c r="E100" s="2">
        <f>AVERAGE(L103:L105)</f>
        <v>7.8583333333333343</v>
      </c>
      <c r="G100" s="20">
        <v>2</v>
      </c>
      <c r="H100" s="1">
        <v>-90.23</v>
      </c>
      <c r="I100" s="18">
        <v>8.4410000000000007</v>
      </c>
      <c r="J100" s="3">
        <v>2</v>
      </c>
      <c r="K100" s="1">
        <v>-90.619</v>
      </c>
      <c r="L100" s="18">
        <v>6.8520000000000003</v>
      </c>
      <c r="M100" s="3">
        <v>2</v>
      </c>
      <c r="N100" s="1">
        <v>-90</v>
      </c>
      <c r="O100" s="1">
        <v>6.282</v>
      </c>
      <c r="Q100" s="1"/>
      <c r="R100" s="1">
        <v>-46.502000000000002</v>
      </c>
      <c r="S100" s="1">
        <v>6.9950000000000001</v>
      </c>
      <c r="T100" s="1"/>
      <c r="U100" s="1">
        <v>-47.082999999999998</v>
      </c>
      <c r="V100" s="1">
        <v>6.2539999999999996</v>
      </c>
      <c r="X100" s="1"/>
      <c r="Y100" s="1">
        <v>-47.082999999999998</v>
      </c>
      <c r="Z100" s="1">
        <v>7.0119999999999996</v>
      </c>
      <c r="AA100" s="1"/>
      <c r="AB100" s="1">
        <v>-52.942999999999998</v>
      </c>
      <c r="AC100" s="1">
        <v>6.14</v>
      </c>
    </row>
    <row r="101" spans="1:29" x14ac:dyDescent="0.3">
      <c r="A101" s="2">
        <v>1264</v>
      </c>
      <c r="B101" s="2">
        <v>1</v>
      </c>
      <c r="C101" s="2">
        <v>3</v>
      </c>
      <c r="D101" s="2">
        <v>7</v>
      </c>
      <c r="E101" s="2">
        <f>AVERAGE(L107:L109)</f>
        <v>6.4646666666666661</v>
      </c>
      <c r="G101" s="20">
        <v>3</v>
      </c>
      <c r="H101" s="1">
        <v>-120.61</v>
      </c>
      <c r="I101" s="18">
        <v>7.5229999999999997</v>
      </c>
      <c r="J101" s="3">
        <v>3</v>
      </c>
      <c r="K101" s="1">
        <v>-121.627</v>
      </c>
      <c r="L101" s="18">
        <v>7.1340000000000003</v>
      </c>
      <c r="M101" s="3">
        <v>3</v>
      </c>
      <c r="N101" s="1">
        <v>-121.908</v>
      </c>
      <c r="O101" s="1">
        <v>6.4029999999999996</v>
      </c>
      <c r="Q101" s="1"/>
      <c r="R101" s="1">
        <v>-90.644000000000005</v>
      </c>
      <c r="S101" s="1">
        <v>6.593</v>
      </c>
      <c r="T101" s="1"/>
      <c r="U101" s="1">
        <v>-90</v>
      </c>
      <c r="V101" s="1">
        <v>6.2949999999999999</v>
      </c>
      <c r="X101" s="1"/>
      <c r="Y101" s="1">
        <v>-90</v>
      </c>
      <c r="Z101" s="1">
        <v>6.6340000000000003</v>
      </c>
      <c r="AA101" s="1"/>
      <c r="AB101" s="1">
        <v>-90.918999999999997</v>
      </c>
      <c r="AC101" s="1">
        <v>6.234</v>
      </c>
    </row>
    <row r="102" spans="1:29" x14ac:dyDescent="0.3">
      <c r="A102" s="2">
        <v>1264</v>
      </c>
      <c r="B102" s="2">
        <v>2</v>
      </c>
      <c r="C102" s="2">
        <v>3</v>
      </c>
      <c r="D102" s="2">
        <v>7</v>
      </c>
      <c r="E102" s="2">
        <f>AVERAGE(L111:L113)</f>
        <v>6.7659999999999991</v>
      </c>
      <c r="G102" s="20" t="s">
        <v>13</v>
      </c>
      <c r="H102" s="1"/>
      <c r="I102" s="18"/>
      <c r="J102" s="3" t="s">
        <v>20</v>
      </c>
      <c r="K102" s="1"/>
      <c r="L102" s="18"/>
      <c r="M102" s="3" t="s">
        <v>23</v>
      </c>
      <c r="N102" s="1"/>
      <c r="O102" s="1"/>
      <c r="Q102" s="1"/>
      <c r="R102" s="1">
        <v>-117.59099999999999</v>
      </c>
      <c r="S102" s="1">
        <v>6.4770000000000003</v>
      </c>
      <c r="T102" s="1"/>
      <c r="U102" s="1">
        <v>-120.66500000000001</v>
      </c>
      <c r="V102" s="1">
        <v>7.0380000000000003</v>
      </c>
      <c r="X102" s="1"/>
      <c r="Y102" s="1">
        <v>-120.66500000000001</v>
      </c>
      <c r="Z102" s="1">
        <v>6.5229999999999997</v>
      </c>
      <c r="AA102" s="1"/>
      <c r="AB102" s="1">
        <v>-121.40300000000001</v>
      </c>
      <c r="AC102" s="1">
        <v>6.7169999999999996</v>
      </c>
    </row>
    <row r="103" spans="1:29" x14ac:dyDescent="0.3">
      <c r="A103" s="9">
        <v>1264</v>
      </c>
      <c r="B103" s="9">
        <v>3</v>
      </c>
      <c r="C103" s="2">
        <v>3</v>
      </c>
      <c r="D103" s="2">
        <v>7</v>
      </c>
      <c r="E103" s="9">
        <f>AVERAGE(L115:L117)</f>
        <v>6.7959999999999994</v>
      </c>
      <c r="G103" s="20">
        <v>1</v>
      </c>
      <c r="H103" s="1">
        <v>-44.176000000000002</v>
      </c>
      <c r="I103" s="18">
        <v>6.6639999999999997</v>
      </c>
      <c r="J103" s="3">
        <v>1</v>
      </c>
      <c r="K103" s="1">
        <v>-52.906999999999996</v>
      </c>
      <c r="L103" s="18">
        <v>7.6150000000000002</v>
      </c>
      <c r="M103" s="3">
        <v>1</v>
      </c>
      <c r="N103" s="1">
        <v>-49.131</v>
      </c>
      <c r="O103" s="1">
        <v>6.5439999999999996</v>
      </c>
      <c r="Q103" s="1" t="s">
        <v>39</v>
      </c>
      <c r="R103" s="1"/>
      <c r="S103" s="1"/>
      <c r="T103" s="1" t="s">
        <v>45</v>
      </c>
      <c r="U103" s="1"/>
      <c r="V103" s="1"/>
      <c r="X103" s="1" t="s">
        <v>39</v>
      </c>
      <c r="Y103" s="1"/>
      <c r="Z103" s="1"/>
      <c r="AA103" s="1" t="s">
        <v>45</v>
      </c>
      <c r="AB103" s="1"/>
      <c r="AC103" s="1"/>
    </row>
    <row r="104" spans="1:29" x14ac:dyDescent="0.3">
      <c r="A104" s="2">
        <v>1433</v>
      </c>
      <c r="B104" s="9">
        <v>1</v>
      </c>
      <c r="C104" s="2">
        <v>3</v>
      </c>
      <c r="D104" s="2">
        <v>7</v>
      </c>
      <c r="E104" s="9">
        <f>AVERAGE(O95:O97)</f>
        <v>6.5836666666666668</v>
      </c>
      <c r="G104" s="20">
        <v>2</v>
      </c>
      <c r="H104" s="1">
        <v>-90</v>
      </c>
      <c r="I104" s="18">
        <v>8.8469999999999995</v>
      </c>
      <c r="J104" s="3">
        <v>2</v>
      </c>
      <c r="K104" s="1">
        <v>-90</v>
      </c>
      <c r="L104" s="18">
        <v>7.3330000000000002</v>
      </c>
      <c r="M104" s="3">
        <v>2</v>
      </c>
      <c r="N104" s="1">
        <v>-90.209000000000003</v>
      </c>
      <c r="O104" s="1">
        <v>7.0259999999999998</v>
      </c>
      <c r="Q104" s="1"/>
      <c r="R104" s="1">
        <v>-45.923999999999999</v>
      </c>
      <c r="S104" s="1">
        <v>6.4960000000000004</v>
      </c>
      <c r="T104" s="1"/>
      <c r="U104" s="1">
        <v>-47.905000000000001</v>
      </c>
      <c r="V104" s="1">
        <v>6.3529999999999998</v>
      </c>
      <c r="X104" s="1"/>
      <c r="Y104" s="1">
        <v>-48.951000000000001</v>
      </c>
      <c r="Z104" s="1">
        <v>6.5650000000000004</v>
      </c>
      <c r="AA104" s="1"/>
      <c r="AB104" s="1">
        <v>-46.902000000000001</v>
      </c>
      <c r="AC104" s="1">
        <v>6.391</v>
      </c>
    </row>
    <row r="105" spans="1:29" x14ac:dyDescent="0.3">
      <c r="A105" s="2">
        <v>1433</v>
      </c>
      <c r="B105" s="2">
        <v>2</v>
      </c>
      <c r="C105" s="2">
        <v>3</v>
      </c>
      <c r="D105" s="2">
        <v>7</v>
      </c>
      <c r="E105" s="1">
        <f>AVERAGE(O99:O101)</f>
        <v>6.4283333333333337</v>
      </c>
      <c r="G105" s="20">
        <v>3</v>
      </c>
      <c r="H105" s="1">
        <v>-116.777</v>
      </c>
      <c r="I105" s="18">
        <v>8.2010000000000005</v>
      </c>
      <c r="J105" s="3">
        <v>3</v>
      </c>
      <c r="K105" s="1">
        <v>-119.867</v>
      </c>
      <c r="L105" s="18">
        <v>8.6270000000000007</v>
      </c>
      <c r="M105" s="3">
        <v>3</v>
      </c>
      <c r="N105" s="1">
        <v>-121.608</v>
      </c>
      <c r="O105" s="1">
        <v>7.4359999999999999</v>
      </c>
      <c r="Q105" s="1"/>
      <c r="R105" s="1">
        <v>-90.67</v>
      </c>
      <c r="S105" s="1">
        <v>6.3339999999999996</v>
      </c>
      <c r="T105" s="1"/>
      <c r="U105" s="1">
        <v>-90.962999999999994</v>
      </c>
      <c r="V105" s="1">
        <v>6.3760000000000003</v>
      </c>
      <c r="X105" s="1"/>
      <c r="Y105" s="1">
        <v>-89.757000000000005</v>
      </c>
      <c r="Z105" s="1">
        <v>6.4459999999999997</v>
      </c>
      <c r="AA105" s="1"/>
      <c r="AB105" s="1">
        <v>-90.905000000000001</v>
      </c>
      <c r="AC105" s="1">
        <v>6.3339999999999996</v>
      </c>
    </row>
    <row r="106" spans="1:29" x14ac:dyDescent="0.3">
      <c r="A106" s="2">
        <v>1433</v>
      </c>
      <c r="B106" s="2">
        <v>3</v>
      </c>
      <c r="C106" s="2">
        <v>3</v>
      </c>
      <c r="D106" s="2">
        <v>7</v>
      </c>
      <c r="E106" s="1">
        <f>AVERAGE(O103:O105)</f>
        <v>7.0019999999999998</v>
      </c>
      <c r="G106" s="20" t="s">
        <v>26</v>
      </c>
      <c r="H106" s="1"/>
      <c r="I106" s="18"/>
      <c r="J106" s="3" t="s">
        <v>14</v>
      </c>
      <c r="K106" s="1"/>
      <c r="L106" s="18"/>
      <c r="M106" s="3" t="s">
        <v>33</v>
      </c>
      <c r="N106" s="1"/>
      <c r="O106" s="1"/>
      <c r="Q106" s="1"/>
      <c r="R106" s="1">
        <v>-117.759</v>
      </c>
      <c r="S106" s="1">
        <v>6.3620000000000001</v>
      </c>
      <c r="T106" s="1"/>
      <c r="U106" s="1">
        <v>-122.55800000000001</v>
      </c>
      <c r="V106" s="1">
        <v>6.7690000000000001</v>
      </c>
      <c r="X106" s="1"/>
      <c r="Y106" s="1">
        <v>-121.93300000000001</v>
      </c>
      <c r="Z106" s="1">
        <v>6.4130000000000003</v>
      </c>
      <c r="AA106" s="1"/>
      <c r="AB106" s="1">
        <v>-119.249</v>
      </c>
      <c r="AC106" s="1">
        <v>6.6849999999999996</v>
      </c>
    </row>
    <row r="107" spans="1:29" x14ac:dyDescent="0.3">
      <c r="A107" s="2" t="s">
        <v>31</v>
      </c>
      <c r="B107" s="9">
        <v>1</v>
      </c>
      <c r="C107" s="2">
        <v>3</v>
      </c>
      <c r="D107" s="2">
        <v>7</v>
      </c>
      <c r="E107" s="1">
        <f>AVERAGE(O107:O109)</f>
        <v>6.0556666666666663</v>
      </c>
      <c r="G107" s="20">
        <v>1</v>
      </c>
      <c r="H107" s="1">
        <v>-44.774999999999999</v>
      </c>
      <c r="I107" s="18">
        <v>6.617</v>
      </c>
      <c r="J107" s="3">
        <v>1</v>
      </c>
      <c r="K107" s="1">
        <v>-46.372</v>
      </c>
      <c r="L107" s="18">
        <v>6.3849999999999998</v>
      </c>
      <c r="M107" s="3">
        <v>1</v>
      </c>
      <c r="N107" s="1">
        <v>-46.56</v>
      </c>
      <c r="O107" s="1">
        <v>6.01</v>
      </c>
      <c r="Q107" s="1" t="s">
        <v>40</v>
      </c>
      <c r="R107" s="1"/>
      <c r="S107" s="1"/>
      <c r="T107" s="1"/>
      <c r="X107" s="1" t="s">
        <v>40</v>
      </c>
      <c r="Y107" s="1"/>
      <c r="Z107" s="1"/>
      <c r="AA107" s="1"/>
    </row>
    <row r="108" spans="1:29" x14ac:dyDescent="0.3">
      <c r="A108" s="2" t="s">
        <v>31</v>
      </c>
      <c r="B108" s="2">
        <v>2</v>
      </c>
      <c r="C108" s="2">
        <v>3</v>
      </c>
      <c r="D108" s="2">
        <v>7</v>
      </c>
      <c r="E108" s="1">
        <f>AVERAGE(O111:O113)</f>
        <v>5.9009999999999998</v>
      </c>
      <c r="G108" s="20">
        <v>2</v>
      </c>
      <c r="H108" s="1">
        <v>-90.759</v>
      </c>
      <c r="I108" s="18">
        <v>5.5419999999999998</v>
      </c>
      <c r="J108" s="3">
        <v>2</v>
      </c>
      <c r="K108" s="1">
        <v>-90</v>
      </c>
      <c r="L108" s="18">
        <v>6.27</v>
      </c>
      <c r="M108" s="3">
        <v>2</v>
      </c>
      <c r="N108" s="1">
        <v>-90</v>
      </c>
      <c r="O108" s="1">
        <v>5.62</v>
      </c>
      <c r="Q108" s="1"/>
      <c r="R108" s="1">
        <v>-48.951000000000001</v>
      </c>
      <c r="S108" s="1">
        <v>6.3220000000000001</v>
      </c>
      <c r="T108" s="1"/>
      <c r="X108" s="1"/>
      <c r="Y108" s="1">
        <v>-48.93</v>
      </c>
      <c r="Z108" s="1">
        <v>6.3490000000000002</v>
      </c>
      <c r="AA108" s="1"/>
    </row>
    <row r="109" spans="1:29" x14ac:dyDescent="0.3">
      <c r="A109" s="2" t="s">
        <v>31</v>
      </c>
      <c r="B109" s="2">
        <v>3</v>
      </c>
      <c r="C109" s="2">
        <v>3</v>
      </c>
      <c r="D109" s="2">
        <v>7</v>
      </c>
      <c r="E109" s="1">
        <f>AVERAGE(O115:O117)</f>
        <v>6.0603333333333325</v>
      </c>
      <c r="G109" s="20">
        <v>3</v>
      </c>
      <c r="H109" s="1">
        <v>-118.887</v>
      </c>
      <c r="I109" s="18">
        <v>6.077</v>
      </c>
      <c r="J109" s="3">
        <v>3</v>
      </c>
      <c r="K109" s="1">
        <v>-120.88500000000001</v>
      </c>
      <c r="L109" s="18">
        <v>6.7389999999999999</v>
      </c>
      <c r="M109" s="3">
        <v>3</v>
      </c>
      <c r="N109" s="1">
        <v>-120.715</v>
      </c>
      <c r="O109" s="1">
        <v>6.5369999999999999</v>
      </c>
      <c r="Q109" s="1"/>
      <c r="R109" s="1">
        <v>-89.757000000000005</v>
      </c>
      <c r="S109" s="1">
        <v>6.3209999999999997</v>
      </c>
      <c r="T109" s="1"/>
      <c r="X109" s="1"/>
      <c r="Y109" s="1">
        <v>-89.394000000000005</v>
      </c>
      <c r="Z109" s="1">
        <v>6.4619999999999997</v>
      </c>
      <c r="AA109" s="1"/>
    </row>
    <row r="110" spans="1:29" x14ac:dyDescent="0.3">
      <c r="A110" s="2">
        <v>1098</v>
      </c>
      <c r="B110" s="41">
        <v>1</v>
      </c>
      <c r="C110" s="2">
        <v>3</v>
      </c>
      <c r="D110" s="2">
        <v>7</v>
      </c>
      <c r="E110" s="1">
        <f>AVERAGE(Z96:Z98)</f>
        <v>6.7280000000000006</v>
      </c>
      <c r="G110" s="20" t="s">
        <v>8</v>
      </c>
      <c r="H110" s="1"/>
      <c r="I110" s="18"/>
      <c r="J110" s="3" t="s">
        <v>15</v>
      </c>
      <c r="K110" s="1"/>
      <c r="L110" s="18"/>
      <c r="M110" s="3" t="s">
        <v>34</v>
      </c>
      <c r="N110" s="1"/>
      <c r="O110" s="1"/>
      <c r="Q110" s="1"/>
      <c r="R110" s="1">
        <v>-121.93300000000001</v>
      </c>
      <c r="S110" s="1">
        <v>6.7859999999999996</v>
      </c>
      <c r="T110" s="1"/>
      <c r="X110" s="1"/>
      <c r="Y110" s="1">
        <v>-121.39</v>
      </c>
      <c r="Z110" s="1">
        <v>7.0890000000000004</v>
      </c>
      <c r="AA110" s="1"/>
    </row>
    <row r="111" spans="1:29" x14ac:dyDescent="0.3">
      <c r="A111" s="2">
        <v>1098</v>
      </c>
      <c r="B111" s="42">
        <v>2</v>
      </c>
      <c r="C111" s="2">
        <v>3</v>
      </c>
      <c r="D111" s="2">
        <v>7</v>
      </c>
      <c r="E111" s="1">
        <f>AVERAGE(Z100:Z102)</f>
        <v>6.7229999999999999</v>
      </c>
      <c r="G111" s="20">
        <v>1</v>
      </c>
      <c r="H111" s="1">
        <v>-48.417000000000002</v>
      </c>
      <c r="I111" s="18">
        <v>6.9669999999999996</v>
      </c>
      <c r="J111" s="3">
        <v>1</v>
      </c>
      <c r="K111" s="1">
        <v>-42.207000000000001</v>
      </c>
      <c r="L111" s="18">
        <v>6.2759999999999998</v>
      </c>
      <c r="M111" s="3">
        <v>1</v>
      </c>
      <c r="N111" s="1">
        <v>-51.917999999999999</v>
      </c>
      <c r="O111" s="1">
        <v>5.6280000000000001</v>
      </c>
      <c r="Q111" s="1" t="s">
        <v>41</v>
      </c>
      <c r="R111" s="1"/>
      <c r="S111" s="1"/>
      <c r="T111" s="1"/>
      <c r="X111" s="1" t="s">
        <v>41</v>
      </c>
      <c r="Y111" s="1"/>
      <c r="Z111" s="1"/>
      <c r="AA111" s="1"/>
    </row>
    <row r="112" spans="1:29" x14ac:dyDescent="0.3">
      <c r="A112" s="2">
        <v>1098</v>
      </c>
      <c r="B112" s="42">
        <v>3</v>
      </c>
      <c r="C112" s="2">
        <v>3</v>
      </c>
      <c r="D112" s="2">
        <v>7</v>
      </c>
      <c r="E112" s="1">
        <f>AVERAGE(Z104:Z106)</f>
        <v>6.4746666666666668</v>
      </c>
      <c r="G112" s="20">
        <v>2</v>
      </c>
      <c r="H112" s="1">
        <v>-90.623000000000005</v>
      </c>
      <c r="I112" s="18">
        <v>6.7530000000000001</v>
      </c>
      <c r="J112" s="3">
        <v>2</v>
      </c>
      <c r="K112" s="1">
        <v>-90.234999999999999</v>
      </c>
      <c r="L112" s="18">
        <v>6.5949999999999998</v>
      </c>
      <c r="M112" s="3">
        <v>2</v>
      </c>
      <c r="N112" s="1">
        <v>-90</v>
      </c>
      <c r="O112" s="1">
        <v>5.6859999999999999</v>
      </c>
      <c r="Q112" s="1"/>
      <c r="R112" s="1">
        <v>-46.347999999999999</v>
      </c>
      <c r="S112" s="1">
        <v>6.4420000000000002</v>
      </c>
      <c r="T112" s="1"/>
      <c r="X112" s="1"/>
      <c r="Y112" s="1">
        <v>-48.731000000000002</v>
      </c>
      <c r="Z112" s="1">
        <v>6.6859999999999999</v>
      </c>
      <c r="AA112" s="1"/>
    </row>
    <row r="113" spans="1:27" x14ac:dyDescent="0.3">
      <c r="A113" s="2">
        <v>1112</v>
      </c>
      <c r="B113" s="41">
        <v>1</v>
      </c>
      <c r="C113" s="2">
        <v>3</v>
      </c>
      <c r="D113" s="2">
        <v>7</v>
      </c>
      <c r="E113" s="1">
        <f>AVERAGE(Z108:Z110)</f>
        <v>6.6333333333333329</v>
      </c>
      <c r="G113" s="20">
        <v>3</v>
      </c>
      <c r="H113" s="1">
        <v>-115.875</v>
      </c>
      <c r="I113" s="18">
        <v>6.8109999999999999</v>
      </c>
      <c r="J113" s="3">
        <v>3</v>
      </c>
      <c r="K113" s="1">
        <v>-118.71</v>
      </c>
      <c r="L113" s="18">
        <v>7.4269999999999996</v>
      </c>
      <c r="M113" s="3">
        <v>3</v>
      </c>
      <c r="N113" s="1">
        <v>-120.81100000000001</v>
      </c>
      <c r="O113" s="1">
        <v>6.3890000000000002</v>
      </c>
      <c r="Q113" s="1"/>
      <c r="R113" s="1">
        <v>-90.244</v>
      </c>
      <c r="S113" s="1">
        <v>6.2949999999999999</v>
      </c>
      <c r="T113" s="1"/>
      <c r="X113" s="1"/>
      <c r="Y113" s="1">
        <v>-90.317999999999998</v>
      </c>
      <c r="Z113" s="1">
        <v>6.1539999999999999</v>
      </c>
      <c r="AA113" s="1"/>
    </row>
    <row r="114" spans="1:27" x14ac:dyDescent="0.3">
      <c r="A114" s="2">
        <v>1112</v>
      </c>
      <c r="B114" s="42">
        <v>2</v>
      </c>
      <c r="C114" s="2">
        <v>3</v>
      </c>
      <c r="D114" s="2">
        <v>7</v>
      </c>
      <c r="E114" s="1">
        <f>AVERAGE(Z112:Z114)</f>
        <v>6.4473333333333329</v>
      </c>
      <c r="G114" s="20" t="s">
        <v>9</v>
      </c>
      <c r="H114" s="1"/>
      <c r="I114" s="18"/>
      <c r="J114" s="3" t="s">
        <v>16</v>
      </c>
      <c r="K114" s="1"/>
      <c r="L114" s="18"/>
      <c r="M114" s="3" t="s">
        <v>35</v>
      </c>
      <c r="N114" s="1"/>
      <c r="O114" s="1"/>
      <c r="Q114" s="1"/>
      <c r="R114" s="1">
        <v>-120.206</v>
      </c>
      <c r="S114" s="1">
        <v>6.6020000000000003</v>
      </c>
      <c r="T114" s="1"/>
      <c r="X114" s="1"/>
      <c r="Y114" s="1">
        <v>-118.586</v>
      </c>
      <c r="Z114" s="1">
        <v>6.5019999999999998</v>
      </c>
      <c r="AA114" s="1"/>
    </row>
    <row r="115" spans="1:27" x14ac:dyDescent="0.3">
      <c r="A115" s="2">
        <v>1112</v>
      </c>
      <c r="B115" s="42">
        <v>3</v>
      </c>
      <c r="C115" s="2">
        <v>3</v>
      </c>
      <c r="D115" s="2">
        <v>7</v>
      </c>
      <c r="E115" s="1">
        <f>AVERAGE(Z116:Z118)</f>
        <v>6.4176666666666664</v>
      </c>
      <c r="G115" s="20">
        <v>1</v>
      </c>
      <c r="H115" s="1">
        <v>-50.503</v>
      </c>
      <c r="I115" s="18">
        <v>7.8470000000000004</v>
      </c>
      <c r="J115" s="3">
        <v>1</v>
      </c>
      <c r="K115" s="1">
        <v>-46.606000000000002</v>
      </c>
      <c r="L115" s="18">
        <v>6.1369999999999996</v>
      </c>
      <c r="M115" s="3">
        <v>1</v>
      </c>
      <c r="N115" s="1">
        <v>-54.798000000000002</v>
      </c>
      <c r="O115" s="1">
        <v>5.907</v>
      </c>
      <c r="Q115" s="1" t="s">
        <v>42</v>
      </c>
      <c r="R115" s="1"/>
      <c r="S115" s="1"/>
      <c r="T115" s="1"/>
      <c r="X115" s="1" t="s">
        <v>42</v>
      </c>
      <c r="Y115" s="1"/>
      <c r="Z115" s="1"/>
      <c r="AA115" s="1"/>
    </row>
    <row r="116" spans="1:27" x14ac:dyDescent="0.3">
      <c r="A116" s="2">
        <v>1123</v>
      </c>
      <c r="B116" s="41">
        <v>1</v>
      </c>
      <c r="C116" s="2">
        <v>3</v>
      </c>
      <c r="D116" s="2">
        <v>7</v>
      </c>
      <c r="E116" s="1">
        <f>AVERAGE(AC96:AC98)</f>
        <v>6.219333333333334</v>
      </c>
      <c r="G116" s="20">
        <v>2</v>
      </c>
      <c r="H116" s="1">
        <v>-90.623000000000005</v>
      </c>
      <c r="I116" s="18">
        <v>6.7530000000000001</v>
      </c>
      <c r="J116" s="3">
        <v>2</v>
      </c>
      <c r="K116" s="1">
        <v>-90</v>
      </c>
      <c r="L116" s="18">
        <v>6.7839999999999998</v>
      </c>
      <c r="M116" s="3">
        <v>2</v>
      </c>
      <c r="N116" s="1">
        <v>-90.64</v>
      </c>
      <c r="O116" s="1">
        <v>5.9180000000000001</v>
      </c>
      <c r="Q116" s="1"/>
      <c r="R116" s="1">
        <v>-47.01</v>
      </c>
      <c r="S116" s="1">
        <v>6.4820000000000002</v>
      </c>
      <c r="T116" s="1"/>
      <c r="X116" s="1"/>
      <c r="Y116" s="1">
        <v>-47.850999999999999</v>
      </c>
      <c r="Z116" s="1">
        <v>6.3170000000000002</v>
      </c>
      <c r="AA116" s="1"/>
    </row>
    <row r="117" spans="1:27" x14ac:dyDescent="0.3">
      <c r="A117" s="2">
        <v>1123</v>
      </c>
      <c r="B117" s="42">
        <v>2</v>
      </c>
      <c r="C117" s="2">
        <v>3</v>
      </c>
      <c r="D117" s="2">
        <v>7</v>
      </c>
      <c r="E117" s="1">
        <f>AVERAGE(AC100:AC102)</f>
        <v>6.3636666666666661</v>
      </c>
      <c r="G117" s="20">
        <v>3</v>
      </c>
      <c r="H117" s="1">
        <v>-119.876</v>
      </c>
      <c r="I117" s="18">
        <v>7.9560000000000004</v>
      </c>
      <c r="J117" s="3">
        <v>3</v>
      </c>
      <c r="K117" s="1">
        <v>-120.928</v>
      </c>
      <c r="L117" s="18">
        <v>7.4669999999999996</v>
      </c>
      <c r="M117" s="3">
        <v>3</v>
      </c>
      <c r="N117" s="1">
        <v>-120.29900000000001</v>
      </c>
      <c r="O117" s="1">
        <v>6.3559999999999999</v>
      </c>
      <c r="Q117" s="1"/>
      <c r="R117" s="1">
        <v>-90</v>
      </c>
      <c r="S117" s="1">
        <v>6.4290000000000003</v>
      </c>
      <c r="T117" s="1"/>
      <c r="X117" s="1"/>
      <c r="Y117" s="1">
        <v>-90</v>
      </c>
      <c r="Z117" s="1">
        <v>6.3250000000000002</v>
      </c>
      <c r="AA117" s="1"/>
    </row>
    <row r="118" spans="1:27" x14ac:dyDescent="0.3">
      <c r="A118" s="2">
        <v>1123</v>
      </c>
      <c r="B118" s="42">
        <v>3</v>
      </c>
      <c r="C118" s="2">
        <v>3</v>
      </c>
      <c r="D118" s="2">
        <v>7</v>
      </c>
      <c r="E118" s="1">
        <f>AVERAGE(AC104:AC106)</f>
        <v>6.47</v>
      </c>
      <c r="Q118" s="1"/>
      <c r="R118" s="1">
        <v>-118.22199999999999</v>
      </c>
      <c r="S118" s="1">
        <v>6.6269999999999998</v>
      </c>
      <c r="T118" s="1"/>
      <c r="X118" s="1"/>
      <c r="Y118" s="1">
        <v>-119.083</v>
      </c>
      <c r="Z118" s="1">
        <v>6.6109999999999998</v>
      </c>
      <c r="AA1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1st_Assay</vt:lpstr>
      <vt:lpstr>2nd_assay</vt:lpstr>
      <vt:lpstr>3nd_Assay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ΚΑΠΟΥΡΑΛΟΥ ΠΕΛΑΓΙΑ</dc:creator>
  <cp:lastModifiedBy>ΚΑΠΟΥΡΑΛΟΥ ΠΕΛΑΓΙΑ</cp:lastModifiedBy>
  <dcterms:created xsi:type="dcterms:W3CDTF">2026-03-17T15:37:42Z</dcterms:created>
  <dcterms:modified xsi:type="dcterms:W3CDTF">2026-09-16T06:30:43Z</dcterms:modified>
</cp:coreProperties>
</file>